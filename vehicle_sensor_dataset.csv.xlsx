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b155ecd080c03d/Desktop/entri/"/>
    </mc:Choice>
  </mc:AlternateContent>
  <xr:revisionPtr revIDLastSave="2" documentId="8_{1679675E-1075-4F4D-95E2-8C4DB02CCB48}" xr6:coauthVersionLast="47" xr6:coauthVersionMax="47" xr10:uidLastSave="{18098812-7476-4BD6-B8D0-3501F623A808}"/>
  <bookViews>
    <workbookView xWindow="0" yWindow="0" windowWidth="23040" windowHeight="12240" activeTab="2" xr2:uid="{2C484160-3E9E-48CF-8941-B3BA608E69C7}"/>
  </bookViews>
  <sheets>
    <sheet name="Vehicle sensor raw dataset" sheetId="3" r:id="rId1"/>
    <sheet name="Vehicle sensor working data" sheetId="1" r:id="rId2"/>
    <sheet name="Vehicle sensor CLEANED DATA" sheetId="2" r:id="rId3"/>
  </sheets>
  <calcPr calcId="191029"/>
</workbook>
</file>

<file path=xl/calcChain.xml><?xml version="1.0" encoding="utf-8"?>
<calcChain xmlns="http://schemas.openxmlformats.org/spreadsheetml/2006/main">
  <c r="E201" i="1" l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</calcChain>
</file>

<file path=xl/sharedStrings.xml><?xml version="1.0" encoding="utf-8"?>
<sst xmlns="http://schemas.openxmlformats.org/spreadsheetml/2006/main" count="1227" uniqueCount="22">
  <si>
    <t>ON</t>
  </si>
  <si>
    <t>OFF</t>
  </si>
  <si>
    <t>Temperature (Stastically imputed with Average)</t>
  </si>
  <si>
    <t>Temperature (Imputed with Constant)</t>
  </si>
  <si>
    <t>Sensor Id</t>
  </si>
  <si>
    <t>Speed</t>
  </si>
  <si>
    <t>Acceleration</t>
  </si>
  <si>
    <t>Temperature</t>
  </si>
  <si>
    <t>Engine Status</t>
  </si>
  <si>
    <t>Battery Level</t>
  </si>
  <si>
    <t>Battery Status</t>
  </si>
  <si>
    <t>Medium</t>
  </si>
  <si>
    <t>High</t>
  </si>
  <si>
    <t>Low</t>
  </si>
  <si>
    <t>Engine Status (Proper)</t>
  </si>
  <si>
    <t>On</t>
  </si>
  <si>
    <t>Off</t>
  </si>
  <si>
    <t>Speed Band</t>
  </si>
  <si>
    <t>Fast</t>
  </si>
  <si>
    <t>Acceleration Type</t>
  </si>
  <si>
    <t>Braking</t>
  </si>
  <si>
    <t>Accelerating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</si>
</sst>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0287C5-1FD9-4B3C-A7B8-3BEA1A1C5057}" name="Table3" displayName="Table3" ref="A1:F201" totalsRowShown="0">
  <autoFilter ref="A1:F201" xr:uid="{5E0287C5-1FD9-4B3C-A7B8-3BEA1A1C5057}"/>
  <tableColumns count="6">
    <tableColumn id="1" xr3:uid="{BB44FD02-AD8E-43AD-A794-B2FF9CC5D409}" name="Sensor Id"/>
    <tableColumn id="2" xr3:uid="{6FAB9112-B35B-428A-8798-74C999C6C5FD}" name="Speed"/>
    <tableColumn id="3" xr3:uid="{D1A3A98A-EE73-4A8A-ACDF-03B147D27998}" name="Acceleration"/>
    <tableColumn id="4" xr3:uid="{7C2751B7-0E47-420D-8B37-7137B28F7280}" name="Temperature"/>
    <tableColumn id="5" xr3:uid="{88B8AA29-2A13-4D24-85F8-0C157D26726C}" name="Engine Status"/>
    <tableColumn id="6" xr3:uid="{05333E55-157E-4392-A919-B9CF37A3C191}" name="Battery Leve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2E2D84-4145-4CEC-A00B-05553A63BFB5}" name="Table1" displayName="Table1" ref="A1:L201" totalsRowShown="0" headerRowDxfId="16">
  <sortState xmlns:xlrd2="http://schemas.microsoft.com/office/spreadsheetml/2017/richdata2" ref="A2:L201">
    <sortCondition ref="A1:A201"/>
  </sortState>
  <tableColumns count="12">
    <tableColumn id="1" xr3:uid="{5A1030FD-6E0F-45BE-A816-D34A0F9E6505}" name="Sensor Id"/>
    <tableColumn id="2" xr3:uid="{0A5B5D65-2E8A-42B2-8D4D-847F34FCD531}" name="Speed"/>
    <tableColumn id="12" xr3:uid="{66F2D940-08DF-449E-A39D-49089C3BFBFA}" name="Speed Band" dataDxfId="15">
      <calculatedColumnFormula>IF(Table1[[#This Row],[Speed]]&lt;30,"Low",IF(Table1[[#This Row],[Speed]]&lt;60,"Medium","Fast"))</calculatedColumnFormula>
    </tableColumn>
    <tableColumn id="3" xr3:uid="{D5334E68-2A0F-4922-8C3B-ED7F0A820C3C}" name="Acceleration"/>
    <tableColumn id="13" xr3:uid="{4CADF15C-A319-4896-AEB7-E08C61531138}" name="Acceleration Type" dataDxfId="14">
      <calculatedColumnFormula>IF(Table1[[#This Row],[Acceleration]]&gt;0,"Accelerating",IF(Table1[[#This Row],[Acceleration]]&lt;0,"Braking","Constant"))</calculatedColumnFormula>
    </tableColumn>
    <tableColumn id="4" xr3:uid="{AD55F909-D22A-4559-9DB7-6CE35984659C}" name="Temperature"/>
    <tableColumn id="7" xr3:uid="{EF367C4D-A81A-4574-9C00-7A89A0F7EFFD}" name="Temperature (Stastically imputed with Average)" dataDxfId="13">
      <calculatedColumnFormula>IF(ISBLANK(Table1[[#This Row],[Temperature]]),AVERAGE(Table1[Temperature]),Table1[[#This Row],[Temperature]])</calculatedColumnFormula>
    </tableColumn>
    <tableColumn id="8" xr3:uid="{149D024B-697F-4EF5-86A4-FD06E7EF9365}" name="Temperature (Imputed with Constant)" dataDxfId="12">
      <calculatedColumnFormula>IF(ISBLANK(Table1[[#This Row],[Temperature]]),"Unknown",Table1[[#This Row],[Temperature]])</calculatedColumnFormula>
    </tableColumn>
    <tableColumn id="5" xr3:uid="{BF882895-2C4F-4979-8DC2-99A004BED805}" name="Engine Status"/>
    <tableColumn id="11" xr3:uid="{8CEEA768-A85E-4D0B-A0B5-C80A489BE5E2}" name="Engine Status (Proper)" dataDxfId="11">
      <calculatedColumnFormula>PROPER(Table1[[#This Row],[Engine Status]])</calculatedColumnFormula>
    </tableColumn>
    <tableColumn id="6" xr3:uid="{E49AA650-D05D-412D-9F22-6EDD9A6B2522}" name="Battery Level" dataDxfId="10"/>
    <tableColumn id="10" xr3:uid="{FB9520C6-8270-4E74-A883-A21DAF2025EC}" name="Battery Status" dataDxfId="9">
      <calculatedColumnFormula>IF(Table1[[#This Row],[Battery Level]]&lt;30,"Low",IF(Table1[[#This Row],[Battery Level]]&lt;60,"Medium","High"))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24878E-B8AB-4FE0-A4E4-4EC8EF8B1A31}" name="Table2" displayName="Table2" ref="A1:I1048576" totalsRowShown="0" headerRowDxfId="8">
  <sortState xmlns:xlrd2="http://schemas.microsoft.com/office/spreadsheetml/2017/richdata2" ref="A2:I209">
    <sortCondition ref="A2:A209"/>
  </sortState>
  <tableColumns count="9">
    <tableColumn id="1" xr3:uid="{07085619-721A-47B7-9DBC-18AF51810585}" name="Sensor Id"/>
    <tableColumn id="2" xr3:uid="{92FA97AB-2892-48D1-9657-5C3030FC19C4}" name="Speed" dataDxfId="7"/>
    <tableColumn id="3" xr3:uid="{5CAED55F-B006-4EEA-B563-1B6CB39FD525}" name="Speed Band" dataDxfId="6"/>
    <tableColumn id="8" xr3:uid="{22A4C943-7701-4017-98B1-B8E62869B1F7}" name="Acceleration" dataDxfId="5"/>
    <tableColumn id="9" xr3:uid="{0AC508E4-D835-4447-BF3C-25B247D32D75}" name="Acceleration Type" dataDxfId="4"/>
    <tableColumn id="4" xr3:uid="{6AC823AE-653E-496E-8F4A-BD83A3848D71}" name="Temperature (Stastically imputed with Average)" dataDxfId="3"/>
    <tableColumn id="5" xr3:uid="{03623BBC-924D-42BD-A7DF-3A5522C4DB01}" name="Engine Status (Proper)" dataDxfId="2"/>
    <tableColumn id="6" xr3:uid="{B68C6C3A-CE92-4CE2-ACE8-12BB1634B85E}" name="Battery Level" dataDxfId="1"/>
    <tableColumn id="7" xr3:uid="{D757914D-AECD-4416-9106-22C2623ACF77}" name="Battery 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121BF-9370-4C78-ADF4-4D68F77107C4}">
  <dimension ref="A1:F201"/>
  <sheetViews>
    <sheetView workbookViewId="0">
      <selection activeCell="K14" sqref="K14"/>
    </sheetView>
  </sheetViews>
  <sheetFormatPr defaultRowHeight="14.4" x14ac:dyDescent="0.3"/>
  <cols>
    <col min="1" max="1" width="10.6640625" customWidth="1"/>
    <col min="3" max="3" width="13.33203125" customWidth="1"/>
    <col min="4" max="4" width="13.77734375" customWidth="1"/>
    <col min="5" max="5" width="14.21875" customWidth="1"/>
    <col min="6" max="6" width="13.77734375" customWidth="1"/>
  </cols>
  <sheetData>
    <row r="1" spans="1:6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3">
      <c r="A2">
        <v>1</v>
      </c>
      <c r="B2">
        <v>80.540000000000006</v>
      </c>
      <c r="C2">
        <v>-0.6</v>
      </c>
      <c r="D2">
        <v>61.66</v>
      </c>
      <c r="E2" t="s">
        <v>0</v>
      </c>
      <c r="F2">
        <v>56</v>
      </c>
    </row>
    <row r="3" spans="1:6" x14ac:dyDescent="0.3">
      <c r="A3">
        <v>2</v>
      </c>
      <c r="B3">
        <v>74.459999999999994</v>
      </c>
      <c r="C3">
        <v>-2.2200000000000002</v>
      </c>
      <c r="D3">
        <v>30.53</v>
      </c>
      <c r="E3" t="s">
        <v>0</v>
      </c>
      <c r="F3">
        <v>41</v>
      </c>
    </row>
    <row r="4" spans="1:6" x14ac:dyDescent="0.3">
      <c r="A4">
        <v>3</v>
      </c>
      <c r="B4">
        <v>89.07</v>
      </c>
      <c r="C4">
        <v>2.98</v>
      </c>
      <c r="E4" t="s">
        <v>0</v>
      </c>
      <c r="F4">
        <v>77</v>
      </c>
    </row>
    <row r="5" spans="1:6" x14ac:dyDescent="0.3">
      <c r="A5">
        <v>4</v>
      </c>
      <c r="B5">
        <v>20.39</v>
      </c>
      <c r="C5">
        <v>-1.74</v>
      </c>
      <c r="D5">
        <v>51.27</v>
      </c>
      <c r="E5" t="s">
        <v>0</v>
      </c>
      <c r="F5">
        <v>87</v>
      </c>
    </row>
    <row r="6" spans="1:6" x14ac:dyDescent="0.3">
      <c r="A6">
        <v>5</v>
      </c>
      <c r="B6">
        <v>23.4</v>
      </c>
      <c r="C6">
        <v>-2.0099999999999998</v>
      </c>
      <c r="E6" t="s">
        <v>0</v>
      </c>
      <c r="F6">
        <v>63</v>
      </c>
    </row>
    <row r="7" spans="1:6" x14ac:dyDescent="0.3">
      <c r="A7">
        <v>6</v>
      </c>
      <c r="B7">
        <v>106.85</v>
      </c>
      <c r="C7">
        <v>-2.67</v>
      </c>
      <c r="D7">
        <v>37.270000000000003</v>
      </c>
      <c r="E7" t="s">
        <v>1</v>
      </c>
      <c r="F7">
        <v>53</v>
      </c>
    </row>
    <row r="8" spans="1:6" x14ac:dyDescent="0.3">
      <c r="A8">
        <v>7</v>
      </c>
      <c r="B8">
        <v>90</v>
      </c>
      <c r="C8">
        <v>-3.7</v>
      </c>
      <c r="D8">
        <v>52.97</v>
      </c>
      <c r="E8" t="s">
        <v>0</v>
      </c>
      <c r="F8">
        <v>96</v>
      </c>
    </row>
    <row r="9" spans="1:6" x14ac:dyDescent="0.3">
      <c r="A9">
        <v>8</v>
      </c>
      <c r="B9">
        <v>108.99</v>
      </c>
      <c r="C9">
        <v>-2.44</v>
      </c>
      <c r="D9">
        <v>66.33</v>
      </c>
      <c r="E9" t="s">
        <v>0</v>
      </c>
      <c r="F9">
        <v>61</v>
      </c>
    </row>
    <row r="10" spans="1:6" x14ac:dyDescent="0.3">
      <c r="A10">
        <v>9</v>
      </c>
      <c r="B10">
        <v>91.05</v>
      </c>
      <c r="C10">
        <v>-1.45</v>
      </c>
      <c r="D10">
        <v>72.58</v>
      </c>
      <c r="E10" t="s">
        <v>0</v>
      </c>
      <c r="F10">
        <v>28</v>
      </c>
    </row>
    <row r="11" spans="1:6" x14ac:dyDescent="0.3">
      <c r="A11">
        <v>10</v>
      </c>
      <c r="B11">
        <v>71.66</v>
      </c>
      <c r="C11">
        <v>1.74</v>
      </c>
      <c r="D11">
        <v>72.77</v>
      </c>
      <c r="E11" t="s">
        <v>0</v>
      </c>
      <c r="F11">
        <v>26</v>
      </c>
    </row>
    <row r="12" spans="1:6" x14ac:dyDescent="0.3">
      <c r="A12">
        <v>11</v>
      </c>
      <c r="B12">
        <v>78.5</v>
      </c>
      <c r="C12">
        <v>-4.37</v>
      </c>
      <c r="D12">
        <v>60.45</v>
      </c>
      <c r="E12" t="s">
        <v>0</v>
      </c>
      <c r="F12">
        <v>87</v>
      </c>
    </row>
    <row r="13" spans="1:6" x14ac:dyDescent="0.3">
      <c r="A13">
        <v>12</v>
      </c>
      <c r="B13">
        <v>106.7</v>
      </c>
      <c r="C13">
        <v>-2.89</v>
      </c>
      <c r="D13">
        <v>83.31</v>
      </c>
      <c r="E13" t="s">
        <v>1</v>
      </c>
      <c r="F13">
        <v>38</v>
      </c>
    </row>
    <row r="14" spans="1:6" x14ac:dyDescent="0.3">
      <c r="A14">
        <v>13</v>
      </c>
      <c r="B14">
        <v>69.459999999999994</v>
      </c>
      <c r="C14">
        <v>3.09</v>
      </c>
      <c r="D14">
        <v>77.22</v>
      </c>
      <c r="E14" t="s">
        <v>1</v>
      </c>
      <c r="F14">
        <v>50</v>
      </c>
    </row>
    <row r="15" spans="1:6" x14ac:dyDescent="0.3">
      <c r="A15">
        <v>14</v>
      </c>
      <c r="B15">
        <v>75.89</v>
      </c>
      <c r="C15">
        <v>-3.53</v>
      </c>
      <c r="D15">
        <v>72.989999999999995</v>
      </c>
      <c r="E15" t="s">
        <v>0</v>
      </c>
      <c r="F15">
        <v>54</v>
      </c>
    </row>
    <row r="16" spans="1:6" x14ac:dyDescent="0.3">
      <c r="A16">
        <v>15</v>
      </c>
      <c r="B16">
        <v>18.78</v>
      </c>
      <c r="C16">
        <v>-1.57</v>
      </c>
      <c r="E16" t="s">
        <v>1</v>
      </c>
      <c r="F16">
        <v>76</v>
      </c>
    </row>
    <row r="17" spans="1:6" x14ac:dyDescent="0.3">
      <c r="A17">
        <v>16</v>
      </c>
      <c r="B17">
        <v>56.87</v>
      </c>
      <c r="C17">
        <v>3.65</v>
      </c>
      <c r="D17">
        <v>20.48</v>
      </c>
      <c r="E17" t="s">
        <v>0</v>
      </c>
      <c r="F17">
        <v>80</v>
      </c>
    </row>
    <row r="18" spans="1:6" x14ac:dyDescent="0.3">
      <c r="A18">
        <v>17</v>
      </c>
      <c r="B18">
        <v>85.97</v>
      </c>
      <c r="C18">
        <v>-3.45</v>
      </c>
      <c r="D18">
        <v>34.869999999999997</v>
      </c>
      <c r="E18" t="s">
        <v>1</v>
      </c>
      <c r="F18">
        <v>50</v>
      </c>
    </row>
    <row r="19" spans="1:6" x14ac:dyDescent="0.3">
      <c r="A19">
        <v>18</v>
      </c>
      <c r="B19">
        <v>32.51</v>
      </c>
      <c r="C19">
        <v>-4.17</v>
      </c>
      <c r="D19">
        <v>66.45</v>
      </c>
      <c r="E19" t="s">
        <v>1</v>
      </c>
      <c r="F19">
        <v>72</v>
      </c>
    </row>
    <row r="20" spans="1:6" x14ac:dyDescent="0.3">
      <c r="A20">
        <v>19</v>
      </c>
      <c r="B20">
        <v>24.27</v>
      </c>
      <c r="C20">
        <v>-0.15</v>
      </c>
      <c r="D20">
        <v>48.78</v>
      </c>
      <c r="E20" t="s">
        <v>0</v>
      </c>
      <c r="F20">
        <v>51</v>
      </c>
    </row>
    <row r="21" spans="1:6" x14ac:dyDescent="0.3">
      <c r="A21">
        <v>20</v>
      </c>
      <c r="B21">
        <v>37.659999999999997</v>
      </c>
      <c r="C21">
        <v>-1.98</v>
      </c>
      <c r="D21">
        <v>48.17</v>
      </c>
      <c r="E21" t="s">
        <v>1</v>
      </c>
      <c r="F21">
        <v>85</v>
      </c>
    </row>
    <row r="22" spans="1:6" x14ac:dyDescent="0.3">
      <c r="A22">
        <v>21</v>
      </c>
      <c r="B22">
        <v>28.98</v>
      </c>
      <c r="C22">
        <v>0.63</v>
      </c>
      <c r="D22">
        <v>81.92</v>
      </c>
      <c r="E22" t="s">
        <v>1</v>
      </c>
      <c r="F22">
        <v>78</v>
      </c>
    </row>
    <row r="23" spans="1:6" x14ac:dyDescent="0.3">
      <c r="A23">
        <v>22</v>
      </c>
      <c r="B23">
        <v>25.79</v>
      </c>
      <c r="C23">
        <v>3.04</v>
      </c>
      <c r="D23">
        <v>82.69</v>
      </c>
      <c r="E23" t="s">
        <v>0</v>
      </c>
      <c r="F23">
        <v>29</v>
      </c>
    </row>
    <row r="24" spans="1:6" x14ac:dyDescent="0.3">
      <c r="A24">
        <v>23</v>
      </c>
      <c r="B24">
        <v>50.98</v>
      </c>
      <c r="C24">
        <v>-3.63</v>
      </c>
      <c r="D24">
        <v>83.64</v>
      </c>
      <c r="E24" t="s">
        <v>0</v>
      </c>
      <c r="F24">
        <v>21</v>
      </c>
    </row>
    <row r="25" spans="1:6" x14ac:dyDescent="0.3">
      <c r="A25">
        <v>24</v>
      </c>
      <c r="B25">
        <v>108.94</v>
      </c>
      <c r="C25">
        <v>0.81</v>
      </c>
      <c r="D25">
        <v>41.97</v>
      </c>
      <c r="E25" t="s">
        <v>1</v>
      </c>
      <c r="F25">
        <v>85</v>
      </c>
    </row>
    <row r="26" spans="1:6" x14ac:dyDescent="0.3">
      <c r="A26">
        <v>25</v>
      </c>
      <c r="B26">
        <v>60.85</v>
      </c>
      <c r="C26">
        <v>0.06</v>
      </c>
      <c r="D26">
        <v>68.37</v>
      </c>
      <c r="E26" t="s">
        <v>1</v>
      </c>
      <c r="F26">
        <v>79</v>
      </c>
    </row>
    <row r="27" spans="1:6" x14ac:dyDescent="0.3">
      <c r="A27">
        <v>26</v>
      </c>
      <c r="B27">
        <v>22.55</v>
      </c>
      <c r="C27">
        <v>-3.56</v>
      </c>
      <c r="D27">
        <v>39.01</v>
      </c>
      <c r="E27" t="s">
        <v>1</v>
      </c>
      <c r="F27">
        <v>36</v>
      </c>
    </row>
    <row r="28" spans="1:6" x14ac:dyDescent="0.3">
      <c r="A28">
        <v>27</v>
      </c>
      <c r="B28">
        <v>9.24</v>
      </c>
      <c r="C28">
        <v>1.24</v>
      </c>
      <c r="D28">
        <v>33.340000000000003</v>
      </c>
      <c r="E28" t="s">
        <v>0</v>
      </c>
      <c r="F28">
        <v>35</v>
      </c>
    </row>
    <row r="29" spans="1:6" x14ac:dyDescent="0.3">
      <c r="A29">
        <v>28</v>
      </c>
      <c r="B29">
        <v>83.54</v>
      </c>
      <c r="C29">
        <v>-2.2599999999999998</v>
      </c>
      <c r="D29">
        <v>32.92</v>
      </c>
      <c r="E29" t="s">
        <v>1</v>
      </c>
      <c r="F29">
        <v>35</v>
      </c>
    </row>
    <row r="30" spans="1:6" x14ac:dyDescent="0.3">
      <c r="A30">
        <v>29</v>
      </c>
      <c r="B30">
        <v>45.94</v>
      </c>
      <c r="C30">
        <v>-0.12</v>
      </c>
      <c r="D30">
        <v>43.95</v>
      </c>
      <c r="E30" t="s">
        <v>1</v>
      </c>
      <c r="F30">
        <v>65</v>
      </c>
    </row>
    <row r="31" spans="1:6" x14ac:dyDescent="0.3">
      <c r="A31">
        <v>30</v>
      </c>
      <c r="B31">
        <v>98.62</v>
      </c>
      <c r="C31">
        <v>-4.18</v>
      </c>
      <c r="D31">
        <v>50.1</v>
      </c>
      <c r="E31" t="s">
        <v>1</v>
      </c>
      <c r="F31">
        <v>58</v>
      </c>
    </row>
    <row r="32" spans="1:6" x14ac:dyDescent="0.3">
      <c r="A32">
        <v>31</v>
      </c>
      <c r="B32">
        <v>79.14</v>
      </c>
      <c r="C32">
        <v>-0.4</v>
      </c>
      <c r="D32">
        <v>78.17</v>
      </c>
      <c r="E32" t="s">
        <v>0</v>
      </c>
      <c r="F32">
        <v>50</v>
      </c>
    </row>
    <row r="33" spans="1:6" x14ac:dyDescent="0.3">
      <c r="A33">
        <v>32</v>
      </c>
      <c r="B33">
        <v>95.55</v>
      </c>
      <c r="C33">
        <v>-1.94</v>
      </c>
      <c r="D33">
        <v>28.39</v>
      </c>
      <c r="E33" t="s">
        <v>0</v>
      </c>
      <c r="F33">
        <v>20</v>
      </c>
    </row>
    <row r="34" spans="1:6" x14ac:dyDescent="0.3">
      <c r="A34">
        <v>33</v>
      </c>
      <c r="B34">
        <v>32.630000000000003</v>
      </c>
      <c r="C34">
        <v>3.22</v>
      </c>
      <c r="D34">
        <v>71.44</v>
      </c>
      <c r="E34" t="s">
        <v>0</v>
      </c>
      <c r="F34">
        <v>30</v>
      </c>
    </row>
    <row r="35" spans="1:6" x14ac:dyDescent="0.3">
      <c r="A35">
        <v>34</v>
      </c>
      <c r="B35">
        <v>83.08</v>
      </c>
      <c r="C35">
        <v>-4.43</v>
      </c>
      <c r="D35">
        <v>57.2</v>
      </c>
      <c r="E35" t="s">
        <v>0</v>
      </c>
      <c r="F35">
        <v>23</v>
      </c>
    </row>
    <row r="36" spans="1:6" x14ac:dyDescent="0.3">
      <c r="A36">
        <v>35</v>
      </c>
      <c r="B36">
        <v>31.69</v>
      </c>
      <c r="C36">
        <v>-0.81</v>
      </c>
      <c r="D36">
        <v>40.159999999999997</v>
      </c>
      <c r="E36" t="s">
        <v>1</v>
      </c>
      <c r="F36">
        <v>90</v>
      </c>
    </row>
    <row r="37" spans="1:6" x14ac:dyDescent="0.3">
      <c r="A37">
        <v>36</v>
      </c>
      <c r="B37">
        <v>112.69</v>
      </c>
      <c r="C37">
        <v>-0.42</v>
      </c>
      <c r="D37">
        <v>54.5</v>
      </c>
      <c r="E37" t="s">
        <v>0</v>
      </c>
      <c r="F37">
        <v>45</v>
      </c>
    </row>
    <row r="38" spans="1:6" x14ac:dyDescent="0.3">
      <c r="A38">
        <v>37</v>
      </c>
      <c r="B38">
        <v>76.36</v>
      </c>
      <c r="C38">
        <v>2.25</v>
      </c>
      <c r="D38">
        <v>41</v>
      </c>
      <c r="E38" t="s">
        <v>1</v>
      </c>
      <c r="F38">
        <v>69</v>
      </c>
    </row>
    <row r="39" spans="1:6" x14ac:dyDescent="0.3">
      <c r="A39">
        <v>38</v>
      </c>
      <c r="B39">
        <v>38.94</v>
      </c>
      <c r="C39">
        <v>0.74</v>
      </c>
      <c r="D39">
        <v>61.73</v>
      </c>
      <c r="E39" t="s">
        <v>1</v>
      </c>
      <c r="F39">
        <v>31</v>
      </c>
    </row>
    <row r="40" spans="1:6" x14ac:dyDescent="0.3">
      <c r="A40">
        <v>39</v>
      </c>
      <c r="B40">
        <v>32.340000000000003</v>
      </c>
      <c r="C40">
        <v>1.67</v>
      </c>
      <c r="D40">
        <v>50.37</v>
      </c>
      <c r="E40" t="s">
        <v>1</v>
      </c>
      <c r="F40">
        <v>94</v>
      </c>
    </row>
    <row r="41" spans="1:6" x14ac:dyDescent="0.3">
      <c r="A41">
        <v>40</v>
      </c>
      <c r="B41">
        <v>22.91</v>
      </c>
      <c r="C41">
        <v>2.77</v>
      </c>
      <c r="D41">
        <v>31.51</v>
      </c>
      <c r="E41" t="s">
        <v>1</v>
      </c>
      <c r="F41">
        <v>84</v>
      </c>
    </row>
    <row r="42" spans="1:6" x14ac:dyDescent="0.3">
      <c r="A42">
        <v>41</v>
      </c>
      <c r="B42">
        <v>83.36</v>
      </c>
      <c r="C42">
        <v>3.62</v>
      </c>
      <c r="D42">
        <v>28.16</v>
      </c>
      <c r="E42" t="s">
        <v>0</v>
      </c>
      <c r="F42">
        <v>66</v>
      </c>
    </row>
    <row r="43" spans="1:6" x14ac:dyDescent="0.3">
      <c r="A43">
        <v>42</v>
      </c>
      <c r="B43">
        <v>26.25</v>
      </c>
      <c r="C43">
        <v>-1.86</v>
      </c>
      <c r="D43">
        <v>58.27</v>
      </c>
      <c r="E43" t="s">
        <v>0</v>
      </c>
      <c r="F43">
        <v>72</v>
      </c>
    </row>
    <row r="44" spans="1:6" x14ac:dyDescent="0.3">
      <c r="A44">
        <v>43</v>
      </c>
      <c r="B44">
        <v>71.44</v>
      </c>
      <c r="C44">
        <v>0.38</v>
      </c>
      <c r="D44">
        <v>83.17</v>
      </c>
      <c r="E44" t="s">
        <v>0</v>
      </c>
      <c r="F44">
        <v>90</v>
      </c>
    </row>
    <row r="45" spans="1:6" x14ac:dyDescent="0.3">
      <c r="A45">
        <v>44</v>
      </c>
      <c r="B45">
        <v>31.76</v>
      </c>
      <c r="C45">
        <v>3.4</v>
      </c>
      <c r="E45" t="s">
        <v>0</v>
      </c>
      <c r="F45">
        <v>21</v>
      </c>
    </row>
    <row r="46" spans="1:6" x14ac:dyDescent="0.3">
      <c r="A46">
        <v>45</v>
      </c>
      <c r="B46">
        <v>79.44</v>
      </c>
      <c r="C46">
        <v>4.8899999999999997</v>
      </c>
      <c r="D46">
        <v>71.31</v>
      </c>
      <c r="E46" t="s">
        <v>0</v>
      </c>
      <c r="F46">
        <v>43</v>
      </c>
    </row>
    <row r="47" spans="1:6" x14ac:dyDescent="0.3">
      <c r="A47">
        <v>46</v>
      </c>
      <c r="B47">
        <v>97.79</v>
      </c>
      <c r="C47">
        <v>3.9</v>
      </c>
      <c r="D47">
        <v>66.11</v>
      </c>
      <c r="E47" t="s">
        <v>1</v>
      </c>
      <c r="F47">
        <v>23</v>
      </c>
    </row>
    <row r="48" spans="1:6" x14ac:dyDescent="0.3">
      <c r="A48">
        <v>47</v>
      </c>
      <c r="B48">
        <v>93.36</v>
      </c>
      <c r="C48">
        <v>-1.29</v>
      </c>
      <c r="D48">
        <v>85.21</v>
      </c>
      <c r="E48" t="s">
        <v>0</v>
      </c>
      <c r="F48">
        <v>38</v>
      </c>
    </row>
    <row r="49" spans="1:6" x14ac:dyDescent="0.3">
      <c r="A49">
        <v>48</v>
      </c>
      <c r="B49">
        <v>91.3</v>
      </c>
      <c r="C49">
        <v>-3.05</v>
      </c>
      <c r="E49" t="s">
        <v>0</v>
      </c>
      <c r="F49">
        <v>45</v>
      </c>
    </row>
    <row r="50" spans="1:6" x14ac:dyDescent="0.3">
      <c r="A50">
        <v>49</v>
      </c>
      <c r="B50">
        <v>22.53</v>
      </c>
      <c r="C50">
        <v>-0.11</v>
      </c>
      <c r="D50">
        <v>59.66</v>
      </c>
      <c r="E50" t="s">
        <v>0</v>
      </c>
      <c r="F50">
        <v>94</v>
      </c>
    </row>
    <row r="51" spans="1:6" x14ac:dyDescent="0.3">
      <c r="A51">
        <v>50</v>
      </c>
      <c r="B51">
        <v>10.61</v>
      </c>
      <c r="C51">
        <v>2.42</v>
      </c>
      <c r="D51">
        <v>65.989999999999995</v>
      </c>
      <c r="E51" t="s">
        <v>0</v>
      </c>
      <c r="F51">
        <v>59</v>
      </c>
    </row>
    <row r="52" spans="1:6" x14ac:dyDescent="0.3">
      <c r="A52">
        <v>51</v>
      </c>
      <c r="B52">
        <v>83.87</v>
      </c>
      <c r="C52">
        <v>-7.0000000000000007E-2</v>
      </c>
      <c r="D52">
        <v>82.89</v>
      </c>
      <c r="E52" t="s">
        <v>1</v>
      </c>
      <c r="F52">
        <v>69</v>
      </c>
    </row>
    <row r="53" spans="1:6" x14ac:dyDescent="0.3">
      <c r="A53">
        <v>52</v>
      </c>
      <c r="B53">
        <v>44.2</v>
      </c>
      <c r="C53">
        <v>-0.17</v>
      </c>
      <c r="D53">
        <v>47.97</v>
      </c>
      <c r="E53" t="s">
        <v>1</v>
      </c>
      <c r="F53">
        <v>62</v>
      </c>
    </row>
    <row r="54" spans="1:6" x14ac:dyDescent="0.3">
      <c r="A54">
        <v>53</v>
      </c>
      <c r="B54">
        <v>51.88</v>
      </c>
      <c r="C54">
        <v>3.38</v>
      </c>
      <c r="D54">
        <v>42.88</v>
      </c>
      <c r="E54" t="s">
        <v>1</v>
      </c>
      <c r="F54">
        <v>94</v>
      </c>
    </row>
    <row r="55" spans="1:6" x14ac:dyDescent="0.3">
      <c r="A55">
        <v>54</v>
      </c>
      <c r="B55">
        <v>3.74</v>
      </c>
      <c r="C55">
        <v>-1.39</v>
      </c>
      <c r="D55">
        <v>20.76</v>
      </c>
      <c r="E55" t="s">
        <v>1</v>
      </c>
      <c r="F55">
        <v>86</v>
      </c>
    </row>
    <row r="56" spans="1:6" x14ac:dyDescent="0.3">
      <c r="A56">
        <v>55</v>
      </c>
      <c r="B56">
        <v>31.15</v>
      </c>
      <c r="C56">
        <v>3.6</v>
      </c>
      <c r="E56" t="s">
        <v>1</v>
      </c>
      <c r="F56">
        <v>31</v>
      </c>
    </row>
    <row r="57" spans="1:6" x14ac:dyDescent="0.3">
      <c r="A57">
        <v>56</v>
      </c>
      <c r="B57">
        <v>4.04</v>
      </c>
      <c r="C57">
        <v>-0.93</v>
      </c>
      <c r="D57">
        <v>76.069999999999993</v>
      </c>
      <c r="E57" t="s">
        <v>0</v>
      </c>
      <c r="F57">
        <v>86</v>
      </c>
    </row>
    <row r="58" spans="1:6" x14ac:dyDescent="0.3">
      <c r="A58">
        <v>57</v>
      </c>
      <c r="B58">
        <v>105.5</v>
      </c>
      <c r="C58">
        <v>-1.72</v>
      </c>
      <c r="D58">
        <v>27.31</v>
      </c>
      <c r="E58" t="s">
        <v>1</v>
      </c>
      <c r="F58">
        <v>46</v>
      </c>
    </row>
    <row r="59" spans="1:6" x14ac:dyDescent="0.3">
      <c r="A59">
        <v>58</v>
      </c>
      <c r="B59">
        <v>29.21</v>
      </c>
      <c r="C59">
        <v>-0.46</v>
      </c>
      <c r="D59">
        <v>60.38</v>
      </c>
      <c r="E59" t="s">
        <v>1</v>
      </c>
      <c r="F59">
        <v>73</v>
      </c>
    </row>
    <row r="60" spans="1:6" x14ac:dyDescent="0.3">
      <c r="A60">
        <v>59</v>
      </c>
      <c r="B60">
        <v>66.88</v>
      </c>
      <c r="C60">
        <v>2.62</v>
      </c>
      <c r="D60">
        <v>52.48</v>
      </c>
      <c r="E60" t="s">
        <v>1</v>
      </c>
      <c r="F60">
        <v>85</v>
      </c>
    </row>
    <row r="61" spans="1:6" x14ac:dyDescent="0.3">
      <c r="A61">
        <v>60</v>
      </c>
      <c r="B61">
        <v>4.68</v>
      </c>
      <c r="C61">
        <v>-3.74</v>
      </c>
      <c r="D61">
        <v>28.31</v>
      </c>
      <c r="E61" t="s">
        <v>0</v>
      </c>
      <c r="F61">
        <v>68</v>
      </c>
    </row>
    <row r="62" spans="1:6" x14ac:dyDescent="0.3">
      <c r="A62">
        <v>61</v>
      </c>
      <c r="B62">
        <v>80.02</v>
      </c>
      <c r="C62">
        <v>-3.04</v>
      </c>
      <c r="D62">
        <v>88.64</v>
      </c>
      <c r="E62" t="s">
        <v>0</v>
      </c>
      <c r="F62">
        <v>35</v>
      </c>
    </row>
    <row r="63" spans="1:6" x14ac:dyDescent="0.3">
      <c r="A63">
        <v>62</v>
      </c>
      <c r="B63">
        <v>38.76</v>
      </c>
      <c r="C63">
        <v>4.51</v>
      </c>
      <c r="D63">
        <v>35.03</v>
      </c>
      <c r="E63" t="s">
        <v>1</v>
      </c>
      <c r="F63">
        <v>21</v>
      </c>
    </row>
    <row r="64" spans="1:6" x14ac:dyDescent="0.3">
      <c r="A64">
        <v>63</v>
      </c>
      <c r="B64">
        <v>107.75</v>
      </c>
      <c r="C64">
        <v>-3.25</v>
      </c>
      <c r="D64">
        <v>24.71</v>
      </c>
      <c r="E64" t="s">
        <v>0</v>
      </c>
      <c r="F64">
        <v>79</v>
      </c>
    </row>
    <row r="65" spans="1:6" x14ac:dyDescent="0.3">
      <c r="A65">
        <v>64</v>
      </c>
      <c r="B65">
        <v>106.57</v>
      </c>
      <c r="C65">
        <v>0.68</v>
      </c>
      <c r="D65">
        <v>61.64</v>
      </c>
      <c r="E65" t="s">
        <v>0</v>
      </c>
      <c r="F65">
        <v>73</v>
      </c>
    </row>
    <row r="66" spans="1:6" x14ac:dyDescent="0.3">
      <c r="A66">
        <v>65</v>
      </c>
      <c r="B66">
        <v>39.03</v>
      </c>
      <c r="C66">
        <v>0.79</v>
      </c>
      <c r="D66">
        <v>71.72</v>
      </c>
      <c r="E66" t="s">
        <v>1</v>
      </c>
      <c r="F66">
        <v>49</v>
      </c>
    </row>
    <row r="67" spans="1:6" x14ac:dyDescent="0.3">
      <c r="A67">
        <v>66</v>
      </c>
      <c r="B67">
        <v>108.12</v>
      </c>
      <c r="C67">
        <v>-0.1</v>
      </c>
      <c r="D67">
        <v>22.27</v>
      </c>
      <c r="E67" t="s">
        <v>0</v>
      </c>
      <c r="F67">
        <v>57</v>
      </c>
    </row>
    <row r="68" spans="1:6" x14ac:dyDescent="0.3">
      <c r="A68">
        <v>67</v>
      </c>
      <c r="B68">
        <v>119.54</v>
      </c>
      <c r="C68">
        <v>1.45</v>
      </c>
      <c r="D68">
        <v>66.11</v>
      </c>
      <c r="E68" t="s">
        <v>0</v>
      </c>
      <c r="F68">
        <v>47</v>
      </c>
    </row>
    <row r="69" spans="1:6" x14ac:dyDescent="0.3">
      <c r="A69">
        <v>68</v>
      </c>
      <c r="B69">
        <v>99.05</v>
      </c>
      <c r="C69">
        <v>-2.7</v>
      </c>
      <c r="D69">
        <v>57.26</v>
      </c>
      <c r="E69" t="s">
        <v>0</v>
      </c>
      <c r="F69">
        <v>44</v>
      </c>
    </row>
    <row r="70" spans="1:6" x14ac:dyDescent="0.3">
      <c r="A70">
        <v>69</v>
      </c>
      <c r="B70">
        <v>101.38</v>
      </c>
      <c r="C70">
        <v>0.53</v>
      </c>
      <c r="D70">
        <v>27.23</v>
      </c>
      <c r="E70" t="s">
        <v>1</v>
      </c>
      <c r="F70">
        <v>29</v>
      </c>
    </row>
    <row r="71" spans="1:6" x14ac:dyDescent="0.3">
      <c r="A71">
        <v>70</v>
      </c>
      <c r="B71">
        <v>29.88</v>
      </c>
      <c r="C71">
        <v>-1.28</v>
      </c>
      <c r="D71">
        <v>32.08</v>
      </c>
      <c r="E71" t="s">
        <v>1</v>
      </c>
      <c r="F71">
        <v>79</v>
      </c>
    </row>
    <row r="72" spans="1:6" x14ac:dyDescent="0.3">
      <c r="A72">
        <v>71</v>
      </c>
      <c r="B72">
        <v>69.2</v>
      </c>
      <c r="C72">
        <v>1.62</v>
      </c>
      <c r="E72" t="s">
        <v>1</v>
      </c>
      <c r="F72">
        <v>61</v>
      </c>
    </row>
    <row r="73" spans="1:6" x14ac:dyDescent="0.3">
      <c r="A73">
        <v>72</v>
      </c>
      <c r="B73">
        <v>8.07</v>
      </c>
      <c r="C73">
        <v>-3.59</v>
      </c>
      <c r="D73">
        <v>40.75</v>
      </c>
      <c r="E73" t="s">
        <v>0</v>
      </c>
      <c r="F73">
        <v>59</v>
      </c>
    </row>
    <row r="74" spans="1:6" x14ac:dyDescent="0.3">
      <c r="A74">
        <v>73</v>
      </c>
      <c r="B74">
        <v>11.39</v>
      </c>
      <c r="C74">
        <v>0.71</v>
      </c>
      <c r="D74">
        <v>85.68</v>
      </c>
      <c r="E74" t="s">
        <v>1</v>
      </c>
      <c r="F74">
        <v>96</v>
      </c>
    </row>
    <row r="75" spans="1:6" x14ac:dyDescent="0.3">
      <c r="A75">
        <v>74</v>
      </c>
      <c r="B75">
        <v>119.87</v>
      </c>
      <c r="C75">
        <v>-3.15</v>
      </c>
      <c r="D75">
        <v>77.31</v>
      </c>
      <c r="E75" t="s">
        <v>0</v>
      </c>
      <c r="F75">
        <v>61</v>
      </c>
    </row>
    <row r="76" spans="1:6" x14ac:dyDescent="0.3">
      <c r="A76">
        <v>75</v>
      </c>
      <c r="B76">
        <v>39.200000000000003</v>
      </c>
      <c r="C76">
        <v>-2.21</v>
      </c>
      <c r="D76">
        <v>88.85</v>
      </c>
      <c r="E76" t="s">
        <v>0</v>
      </c>
      <c r="F76">
        <v>66</v>
      </c>
    </row>
    <row r="77" spans="1:6" x14ac:dyDescent="0.3">
      <c r="A77">
        <v>76</v>
      </c>
      <c r="B77">
        <v>89.78</v>
      </c>
      <c r="C77">
        <v>-2.81</v>
      </c>
      <c r="D77">
        <v>38.18</v>
      </c>
      <c r="E77" t="s">
        <v>0</v>
      </c>
      <c r="F77">
        <v>56</v>
      </c>
    </row>
    <row r="78" spans="1:6" x14ac:dyDescent="0.3">
      <c r="A78">
        <v>77</v>
      </c>
      <c r="B78">
        <v>96.8</v>
      </c>
      <c r="C78">
        <v>-3.17</v>
      </c>
      <c r="D78">
        <v>87.88</v>
      </c>
      <c r="E78" t="s">
        <v>1</v>
      </c>
      <c r="F78">
        <v>99</v>
      </c>
    </row>
    <row r="79" spans="1:6" x14ac:dyDescent="0.3">
      <c r="A79">
        <v>78</v>
      </c>
      <c r="B79">
        <v>102.96</v>
      </c>
      <c r="C79">
        <v>3.26</v>
      </c>
      <c r="D79">
        <v>50.19</v>
      </c>
      <c r="E79" t="s">
        <v>1</v>
      </c>
      <c r="F79">
        <v>41</v>
      </c>
    </row>
    <row r="80" spans="1:6" x14ac:dyDescent="0.3">
      <c r="A80">
        <v>79</v>
      </c>
      <c r="B80">
        <v>119.72</v>
      </c>
      <c r="C80">
        <v>-2.14</v>
      </c>
      <c r="D80">
        <v>44.33</v>
      </c>
      <c r="E80" t="s">
        <v>1</v>
      </c>
      <c r="F80">
        <v>76</v>
      </c>
    </row>
    <row r="81" spans="1:6" x14ac:dyDescent="0.3">
      <c r="A81">
        <v>80</v>
      </c>
      <c r="B81">
        <v>28.98</v>
      </c>
      <c r="C81">
        <v>4.2699999999999996</v>
      </c>
      <c r="D81">
        <v>23.52</v>
      </c>
      <c r="E81" t="s">
        <v>1</v>
      </c>
      <c r="F81">
        <v>46</v>
      </c>
    </row>
    <row r="82" spans="1:6" x14ac:dyDescent="0.3">
      <c r="A82">
        <v>81</v>
      </c>
      <c r="B82">
        <v>4.84</v>
      </c>
      <c r="C82">
        <v>4.7</v>
      </c>
      <c r="D82">
        <v>23.69</v>
      </c>
      <c r="E82" t="s">
        <v>0</v>
      </c>
      <c r="F82">
        <v>60</v>
      </c>
    </row>
    <row r="83" spans="1:6" x14ac:dyDescent="0.3">
      <c r="A83">
        <v>82</v>
      </c>
      <c r="B83">
        <v>49.34</v>
      </c>
      <c r="C83">
        <v>0.71</v>
      </c>
      <c r="D83">
        <v>68.44</v>
      </c>
      <c r="E83" t="s">
        <v>1</v>
      </c>
      <c r="F83">
        <v>99</v>
      </c>
    </row>
    <row r="84" spans="1:6" x14ac:dyDescent="0.3">
      <c r="A84">
        <v>83</v>
      </c>
      <c r="B84">
        <v>15.61</v>
      </c>
      <c r="C84">
        <v>-3.57</v>
      </c>
      <c r="D84">
        <v>52.06</v>
      </c>
      <c r="E84" t="s">
        <v>0</v>
      </c>
      <c r="F84">
        <v>53</v>
      </c>
    </row>
    <row r="85" spans="1:6" x14ac:dyDescent="0.3">
      <c r="A85">
        <v>84</v>
      </c>
      <c r="B85">
        <v>2.69</v>
      </c>
      <c r="C85">
        <v>-1.25</v>
      </c>
      <c r="E85" t="s">
        <v>1</v>
      </c>
      <c r="F85">
        <v>51</v>
      </c>
    </row>
    <row r="86" spans="1:6" x14ac:dyDescent="0.3">
      <c r="A86">
        <v>85</v>
      </c>
      <c r="B86">
        <v>43.25</v>
      </c>
      <c r="C86">
        <v>2.98</v>
      </c>
      <c r="D86">
        <v>62.98</v>
      </c>
      <c r="E86" t="s">
        <v>1</v>
      </c>
      <c r="F86">
        <v>85</v>
      </c>
    </row>
    <row r="87" spans="1:6" x14ac:dyDescent="0.3">
      <c r="A87">
        <v>86</v>
      </c>
      <c r="B87">
        <v>94.05</v>
      </c>
      <c r="C87">
        <v>-1.33</v>
      </c>
      <c r="D87">
        <v>37.700000000000003</v>
      </c>
      <c r="E87" t="s">
        <v>1</v>
      </c>
      <c r="F87">
        <v>31</v>
      </c>
    </row>
    <row r="88" spans="1:6" x14ac:dyDescent="0.3">
      <c r="A88">
        <v>87</v>
      </c>
      <c r="B88">
        <v>67.94</v>
      </c>
      <c r="C88">
        <v>-4.13</v>
      </c>
      <c r="D88">
        <v>60.43</v>
      </c>
      <c r="E88" t="s">
        <v>0</v>
      </c>
      <c r="F88">
        <v>59</v>
      </c>
    </row>
    <row r="89" spans="1:6" x14ac:dyDescent="0.3">
      <c r="A89">
        <v>88</v>
      </c>
      <c r="B89">
        <v>37.53</v>
      </c>
      <c r="C89">
        <v>0.56999999999999995</v>
      </c>
      <c r="D89">
        <v>45.14</v>
      </c>
      <c r="E89" t="s">
        <v>0</v>
      </c>
      <c r="F89">
        <v>92</v>
      </c>
    </row>
    <row r="90" spans="1:6" x14ac:dyDescent="0.3">
      <c r="A90">
        <v>89</v>
      </c>
      <c r="B90">
        <v>78.52</v>
      </c>
      <c r="C90">
        <v>3.45</v>
      </c>
      <c r="D90">
        <v>77.650000000000006</v>
      </c>
      <c r="E90" t="s">
        <v>0</v>
      </c>
      <c r="F90">
        <v>95</v>
      </c>
    </row>
    <row r="91" spans="1:6" x14ac:dyDescent="0.3">
      <c r="A91">
        <v>90</v>
      </c>
      <c r="B91">
        <v>27.84</v>
      </c>
      <c r="C91">
        <v>2.96</v>
      </c>
      <c r="D91">
        <v>77.45</v>
      </c>
      <c r="E91" t="s">
        <v>0</v>
      </c>
      <c r="F91">
        <v>92</v>
      </c>
    </row>
    <row r="92" spans="1:6" x14ac:dyDescent="0.3">
      <c r="A92">
        <v>91</v>
      </c>
      <c r="B92">
        <v>1.73</v>
      </c>
      <c r="C92">
        <v>-3.25</v>
      </c>
      <c r="E92" t="s">
        <v>0</v>
      </c>
      <c r="F92">
        <v>29</v>
      </c>
    </row>
    <row r="93" spans="1:6" x14ac:dyDescent="0.3">
      <c r="A93">
        <v>92</v>
      </c>
      <c r="B93">
        <v>91.72</v>
      </c>
      <c r="C93">
        <v>1.73</v>
      </c>
      <c r="D93">
        <v>44.56</v>
      </c>
      <c r="E93" t="s">
        <v>1</v>
      </c>
      <c r="F93">
        <v>67</v>
      </c>
    </row>
    <row r="94" spans="1:6" x14ac:dyDescent="0.3">
      <c r="A94">
        <v>93</v>
      </c>
      <c r="B94">
        <v>74.849999999999994</v>
      </c>
      <c r="C94">
        <v>-2.79</v>
      </c>
      <c r="E94" t="s">
        <v>0</v>
      </c>
      <c r="F94">
        <v>39</v>
      </c>
    </row>
    <row r="95" spans="1:6" x14ac:dyDescent="0.3">
      <c r="A95">
        <v>94</v>
      </c>
      <c r="B95">
        <v>91.48</v>
      </c>
      <c r="C95">
        <v>-2.82</v>
      </c>
      <c r="D95">
        <v>76.400000000000006</v>
      </c>
      <c r="E95" t="s">
        <v>0</v>
      </c>
      <c r="F95">
        <v>58</v>
      </c>
    </row>
    <row r="96" spans="1:6" x14ac:dyDescent="0.3">
      <c r="A96">
        <v>95</v>
      </c>
      <c r="B96">
        <v>4.67</v>
      </c>
      <c r="C96">
        <v>3.74</v>
      </c>
      <c r="D96">
        <v>42.97</v>
      </c>
      <c r="E96" t="s">
        <v>0</v>
      </c>
      <c r="F96">
        <v>79</v>
      </c>
    </row>
    <row r="97" spans="1:6" x14ac:dyDescent="0.3">
      <c r="A97">
        <v>96</v>
      </c>
      <c r="B97">
        <v>100.45</v>
      </c>
      <c r="C97">
        <v>-2.5</v>
      </c>
      <c r="D97">
        <v>34.630000000000003</v>
      </c>
      <c r="E97" t="s">
        <v>0</v>
      </c>
      <c r="F97">
        <v>85</v>
      </c>
    </row>
    <row r="98" spans="1:6" x14ac:dyDescent="0.3">
      <c r="A98">
        <v>97</v>
      </c>
      <c r="B98">
        <v>74.34</v>
      </c>
      <c r="C98">
        <v>-2.37</v>
      </c>
      <c r="D98">
        <v>25.93</v>
      </c>
      <c r="E98" t="s">
        <v>1</v>
      </c>
      <c r="F98">
        <v>84</v>
      </c>
    </row>
    <row r="99" spans="1:6" x14ac:dyDescent="0.3">
      <c r="A99">
        <v>98</v>
      </c>
      <c r="B99">
        <v>67.61</v>
      </c>
      <c r="C99">
        <v>-4.99</v>
      </c>
      <c r="D99">
        <v>52.67</v>
      </c>
      <c r="E99" t="s">
        <v>0</v>
      </c>
      <c r="F99">
        <v>70</v>
      </c>
    </row>
    <row r="100" spans="1:6" x14ac:dyDescent="0.3">
      <c r="A100">
        <v>99</v>
      </c>
      <c r="B100">
        <v>74.95</v>
      </c>
      <c r="C100">
        <v>3.71</v>
      </c>
      <c r="D100">
        <v>53.75</v>
      </c>
      <c r="E100" t="s">
        <v>1</v>
      </c>
      <c r="F100">
        <v>55</v>
      </c>
    </row>
    <row r="101" spans="1:6" x14ac:dyDescent="0.3">
      <c r="A101">
        <v>100</v>
      </c>
      <c r="B101">
        <v>103.73</v>
      </c>
      <c r="C101">
        <v>2.93</v>
      </c>
      <c r="D101">
        <v>78.86</v>
      </c>
      <c r="E101" t="s">
        <v>1</v>
      </c>
      <c r="F101">
        <v>43</v>
      </c>
    </row>
    <row r="102" spans="1:6" x14ac:dyDescent="0.3">
      <c r="A102">
        <v>101</v>
      </c>
      <c r="B102">
        <v>70.430000000000007</v>
      </c>
      <c r="C102">
        <v>1.27</v>
      </c>
      <c r="D102">
        <v>35.49</v>
      </c>
      <c r="E102" t="s">
        <v>1</v>
      </c>
      <c r="F102">
        <v>46</v>
      </c>
    </row>
    <row r="103" spans="1:6" x14ac:dyDescent="0.3">
      <c r="A103">
        <v>102</v>
      </c>
      <c r="B103">
        <v>69.709999999999994</v>
      </c>
      <c r="C103">
        <v>2.5</v>
      </c>
      <c r="D103">
        <v>46.67</v>
      </c>
      <c r="E103" t="s">
        <v>0</v>
      </c>
      <c r="F103">
        <v>21</v>
      </c>
    </row>
    <row r="104" spans="1:6" x14ac:dyDescent="0.3">
      <c r="A104">
        <v>103</v>
      </c>
      <c r="B104">
        <v>118.88</v>
      </c>
      <c r="C104">
        <v>-3.48</v>
      </c>
      <c r="D104">
        <v>76.59</v>
      </c>
      <c r="E104" t="s">
        <v>1</v>
      </c>
      <c r="F104">
        <v>50</v>
      </c>
    </row>
    <row r="105" spans="1:6" x14ac:dyDescent="0.3">
      <c r="A105">
        <v>104</v>
      </c>
      <c r="B105">
        <v>90.81</v>
      </c>
      <c r="C105">
        <v>-0.42</v>
      </c>
      <c r="D105">
        <v>77.650000000000006</v>
      </c>
      <c r="E105" t="s">
        <v>0</v>
      </c>
      <c r="F105">
        <v>76</v>
      </c>
    </row>
    <row r="106" spans="1:6" x14ac:dyDescent="0.3">
      <c r="A106">
        <v>105</v>
      </c>
      <c r="B106">
        <v>53.08</v>
      </c>
      <c r="C106">
        <v>-1.49</v>
      </c>
      <c r="D106">
        <v>46.92</v>
      </c>
      <c r="E106" t="s">
        <v>0</v>
      </c>
      <c r="F106">
        <v>97</v>
      </c>
    </row>
    <row r="107" spans="1:6" x14ac:dyDescent="0.3">
      <c r="A107">
        <v>106</v>
      </c>
      <c r="B107">
        <v>84.89</v>
      </c>
      <c r="C107">
        <v>-4.0599999999999996</v>
      </c>
      <c r="E107" t="s">
        <v>0</v>
      </c>
      <c r="F107">
        <v>85</v>
      </c>
    </row>
    <row r="108" spans="1:6" x14ac:dyDescent="0.3">
      <c r="A108">
        <v>107</v>
      </c>
      <c r="B108">
        <v>46.71</v>
      </c>
      <c r="C108">
        <v>-0.14000000000000001</v>
      </c>
      <c r="D108">
        <v>41.23</v>
      </c>
      <c r="E108" t="s">
        <v>0</v>
      </c>
      <c r="F108">
        <v>48</v>
      </c>
    </row>
    <row r="109" spans="1:6" x14ac:dyDescent="0.3">
      <c r="A109">
        <v>108</v>
      </c>
      <c r="B109">
        <v>27.47</v>
      </c>
      <c r="C109">
        <v>4.21</v>
      </c>
      <c r="D109">
        <v>85.28</v>
      </c>
      <c r="E109" t="s">
        <v>0</v>
      </c>
      <c r="F109">
        <v>34</v>
      </c>
    </row>
    <row r="110" spans="1:6" x14ac:dyDescent="0.3">
      <c r="A110">
        <v>109</v>
      </c>
      <c r="B110">
        <v>71.62</v>
      </c>
      <c r="C110">
        <v>-4.5999999999999996</v>
      </c>
      <c r="D110">
        <v>28.31</v>
      </c>
      <c r="E110" t="s">
        <v>1</v>
      </c>
      <c r="F110">
        <v>31</v>
      </c>
    </row>
    <row r="111" spans="1:6" x14ac:dyDescent="0.3">
      <c r="A111">
        <v>110</v>
      </c>
      <c r="B111">
        <v>111.38</v>
      </c>
      <c r="C111">
        <v>-2.09</v>
      </c>
      <c r="D111">
        <v>85.36</v>
      </c>
      <c r="E111" t="s">
        <v>1</v>
      </c>
      <c r="F111">
        <v>47</v>
      </c>
    </row>
    <row r="112" spans="1:6" x14ac:dyDescent="0.3">
      <c r="A112">
        <v>111</v>
      </c>
      <c r="B112">
        <v>111.5</v>
      </c>
      <c r="C112">
        <v>-2.92</v>
      </c>
      <c r="D112">
        <v>67.87</v>
      </c>
      <c r="E112" t="s">
        <v>0</v>
      </c>
      <c r="F112">
        <v>43</v>
      </c>
    </row>
    <row r="113" spans="1:6" x14ac:dyDescent="0.3">
      <c r="A113">
        <v>112</v>
      </c>
      <c r="B113">
        <v>41.03</v>
      </c>
      <c r="C113">
        <v>-2.62</v>
      </c>
      <c r="D113">
        <v>57.21</v>
      </c>
      <c r="E113" t="s">
        <v>1</v>
      </c>
      <c r="F113">
        <v>40</v>
      </c>
    </row>
    <row r="114" spans="1:6" x14ac:dyDescent="0.3">
      <c r="A114">
        <v>113</v>
      </c>
      <c r="B114">
        <v>63.32</v>
      </c>
      <c r="C114">
        <v>4.08</v>
      </c>
      <c r="D114">
        <v>22.29</v>
      </c>
      <c r="E114" t="s">
        <v>0</v>
      </c>
      <c r="F114">
        <v>29</v>
      </c>
    </row>
    <row r="115" spans="1:6" x14ac:dyDescent="0.3">
      <c r="A115">
        <v>114</v>
      </c>
      <c r="B115">
        <v>25.4</v>
      </c>
      <c r="C115">
        <v>-0.32</v>
      </c>
      <c r="D115">
        <v>53.29</v>
      </c>
      <c r="E115" t="s">
        <v>1</v>
      </c>
      <c r="F115">
        <v>97</v>
      </c>
    </row>
    <row r="116" spans="1:6" x14ac:dyDescent="0.3">
      <c r="A116">
        <v>115</v>
      </c>
      <c r="B116">
        <v>119.48</v>
      </c>
      <c r="C116">
        <v>-0.34</v>
      </c>
      <c r="D116">
        <v>48.54</v>
      </c>
      <c r="E116" t="s">
        <v>1</v>
      </c>
      <c r="F116">
        <v>37</v>
      </c>
    </row>
    <row r="117" spans="1:6" x14ac:dyDescent="0.3">
      <c r="A117">
        <v>116</v>
      </c>
      <c r="B117">
        <v>117.73</v>
      </c>
      <c r="C117">
        <v>2.61</v>
      </c>
      <c r="D117">
        <v>31.29</v>
      </c>
      <c r="E117" t="s">
        <v>1</v>
      </c>
      <c r="F117">
        <v>33</v>
      </c>
    </row>
    <row r="118" spans="1:6" x14ac:dyDescent="0.3">
      <c r="A118">
        <v>117</v>
      </c>
      <c r="B118">
        <v>77.94</v>
      </c>
      <c r="C118">
        <v>-3.46</v>
      </c>
      <c r="D118">
        <v>65.95</v>
      </c>
      <c r="E118" t="s">
        <v>1</v>
      </c>
      <c r="F118">
        <v>53</v>
      </c>
    </row>
    <row r="119" spans="1:6" x14ac:dyDescent="0.3">
      <c r="A119">
        <v>118</v>
      </c>
      <c r="B119">
        <v>96.53</v>
      </c>
      <c r="C119">
        <v>-0.13</v>
      </c>
      <c r="D119">
        <v>87.98</v>
      </c>
      <c r="E119" t="s">
        <v>1</v>
      </c>
      <c r="F119">
        <v>77</v>
      </c>
    </row>
    <row r="120" spans="1:6" x14ac:dyDescent="0.3">
      <c r="A120">
        <v>119</v>
      </c>
      <c r="B120">
        <v>85.81</v>
      </c>
      <c r="C120">
        <v>-0.7</v>
      </c>
      <c r="D120">
        <v>59.35</v>
      </c>
      <c r="E120" t="s">
        <v>0</v>
      </c>
      <c r="F120">
        <v>95</v>
      </c>
    </row>
    <row r="121" spans="1:6" x14ac:dyDescent="0.3">
      <c r="A121">
        <v>120</v>
      </c>
      <c r="B121">
        <v>71.180000000000007</v>
      </c>
      <c r="C121">
        <v>0.97</v>
      </c>
      <c r="D121">
        <v>70.03</v>
      </c>
      <c r="E121" t="s">
        <v>0</v>
      </c>
      <c r="F121">
        <v>41</v>
      </c>
    </row>
    <row r="122" spans="1:6" x14ac:dyDescent="0.3">
      <c r="A122">
        <v>121</v>
      </c>
      <c r="B122">
        <v>6.4</v>
      </c>
      <c r="C122">
        <v>5</v>
      </c>
      <c r="D122">
        <v>24.79</v>
      </c>
      <c r="E122" t="s">
        <v>1</v>
      </c>
      <c r="F122">
        <v>89</v>
      </c>
    </row>
    <row r="123" spans="1:6" x14ac:dyDescent="0.3">
      <c r="A123">
        <v>122</v>
      </c>
      <c r="B123">
        <v>54.57</v>
      </c>
      <c r="C123">
        <v>2.69</v>
      </c>
      <c r="D123">
        <v>49.24</v>
      </c>
      <c r="E123" t="s">
        <v>0</v>
      </c>
      <c r="F123">
        <v>55</v>
      </c>
    </row>
    <row r="124" spans="1:6" x14ac:dyDescent="0.3">
      <c r="A124">
        <v>123</v>
      </c>
      <c r="B124">
        <v>80.97</v>
      </c>
      <c r="C124">
        <v>-1.02</v>
      </c>
      <c r="D124">
        <v>28.15</v>
      </c>
      <c r="E124" t="s">
        <v>1</v>
      </c>
      <c r="F124">
        <v>64</v>
      </c>
    </row>
    <row r="125" spans="1:6" x14ac:dyDescent="0.3">
      <c r="A125">
        <v>124</v>
      </c>
      <c r="B125">
        <v>81.3</v>
      </c>
      <c r="C125">
        <v>3.28</v>
      </c>
      <c r="D125">
        <v>62.9</v>
      </c>
      <c r="E125" t="s">
        <v>0</v>
      </c>
      <c r="F125">
        <v>55</v>
      </c>
    </row>
    <row r="126" spans="1:6" x14ac:dyDescent="0.3">
      <c r="A126">
        <v>125</v>
      </c>
      <c r="B126">
        <v>44.77</v>
      </c>
      <c r="C126">
        <v>-3.29</v>
      </c>
      <c r="D126">
        <v>85.69</v>
      </c>
      <c r="E126" t="s">
        <v>1</v>
      </c>
      <c r="F126">
        <v>41</v>
      </c>
    </row>
    <row r="127" spans="1:6" x14ac:dyDescent="0.3">
      <c r="A127">
        <v>126</v>
      </c>
      <c r="B127">
        <v>113</v>
      </c>
      <c r="C127">
        <v>-4.7</v>
      </c>
      <c r="D127">
        <v>66.319999999999993</v>
      </c>
      <c r="E127" t="s">
        <v>1</v>
      </c>
      <c r="F127">
        <v>97</v>
      </c>
    </row>
    <row r="128" spans="1:6" x14ac:dyDescent="0.3">
      <c r="A128">
        <v>127</v>
      </c>
      <c r="B128">
        <v>20.079999999999998</v>
      </c>
      <c r="C128">
        <v>-2.96</v>
      </c>
      <c r="D128">
        <v>25.38</v>
      </c>
      <c r="E128" t="s">
        <v>1</v>
      </c>
      <c r="F128">
        <v>99</v>
      </c>
    </row>
    <row r="129" spans="1:6" x14ac:dyDescent="0.3">
      <c r="A129">
        <v>128</v>
      </c>
      <c r="B129">
        <v>60.04</v>
      </c>
      <c r="C129">
        <v>-1.6</v>
      </c>
      <c r="D129">
        <v>44.83</v>
      </c>
      <c r="E129" t="s">
        <v>0</v>
      </c>
      <c r="F129">
        <v>80</v>
      </c>
    </row>
    <row r="130" spans="1:6" x14ac:dyDescent="0.3">
      <c r="A130">
        <v>129</v>
      </c>
      <c r="B130">
        <v>82.91</v>
      </c>
      <c r="C130">
        <v>0.11</v>
      </c>
      <c r="D130">
        <v>58.55</v>
      </c>
      <c r="E130" t="s">
        <v>0</v>
      </c>
      <c r="F130">
        <v>75</v>
      </c>
    </row>
    <row r="131" spans="1:6" x14ac:dyDescent="0.3">
      <c r="A131">
        <v>130</v>
      </c>
      <c r="B131">
        <v>83.66</v>
      </c>
      <c r="C131">
        <v>1.1499999999999999</v>
      </c>
      <c r="D131">
        <v>48.22</v>
      </c>
      <c r="E131" t="s">
        <v>1</v>
      </c>
      <c r="F131">
        <v>52</v>
      </c>
    </row>
    <row r="132" spans="1:6" x14ac:dyDescent="0.3">
      <c r="A132">
        <v>131</v>
      </c>
      <c r="B132">
        <v>77.84</v>
      </c>
      <c r="C132">
        <v>4.1100000000000003</v>
      </c>
      <c r="D132">
        <v>78.36</v>
      </c>
      <c r="E132" t="s">
        <v>1</v>
      </c>
      <c r="F132">
        <v>64</v>
      </c>
    </row>
    <row r="133" spans="1:6" x14ac:dyDescent="0.3">
      <c r="A133">
        <v>132</v>
      </c>
      <c r="B133">
        <v>33.03</v>
      </c>
      <c r="C133">
        <v>0.1</v>
      </c>
      <c r="D133">
        <v>77.03</v>
      </c>
      <c r="E133" t="s">
        <v>0</v>
      </c>
      <c r="F133">
        <v>55</v>
      </c>
    </row>
    <row r="134" spans="1:6" x14ac:dyDescent="0.3">
      <c r="A134">
        <v>133</v>
      </c>
      <c r="B134">
        <v>18.739999999999998</v>
      </c>
      <c r="C134">
        <v>0.01</v>
      </c>
      <c r="E134" t="s">
        <v>0</v>
      </c>
      <c r="F134">
        <v>39</v>
      </c>
    </row>
    <row r="135" spans="1:6" x14ac:dyDescent="0.3">
      <c r="A135">
        <v>134</v>
      </c>
      <c r="B135">
        <v>76.31</v>
      </c>
      <c r="C135">
        <v>-4.5</v>
      </c>
      <c r="D135">
        <v>46.14</v>
      </c>
      <c r="E135" t="s">
        <v>0</v>
      </c>
      <c r="F135">
        <v>37</v>
      </c>
    </row>
    <row r="136" spans="1:6" x14ac:dyDescent="0.3">
      <c r="A136">
        <v>135</v>
      </c>
      <c r="B136">
        <v>71.92</v>
      </c>
      <c r="C136">
        <v>-4.6500000000000004</v>
      </c>
      <c r="D136">
        <v>37.869999999999997</v>
      </c>
      <c r="E136" t="s">
        <v>0</v>
      </c>
      <c r="F136">
        <v>57</v>
      </c>
    </row>
    <row r="137" spans="1:6" x14ac:dyDescent="0.3">
      <c r="A137">
        <v>136</v>
      </c>
      <c r="B137">
        <v>21.52</v>
      </c>
      <c r="C137">
        <v>0.51</v>
      </c>
      <c r="D137">
        <v>27.41</v>
      </c>
      <c r="E137" t="s">
        <v>0</v>
      </c>
      <c r="F137">
        <v>86</v>
      </c>
    </row>
    <row r="138" spans="1:6" x14ac:dyDescent="0.3">
      <c r="A138">
        <v>137</v>
      </c>
      <c r="B138">
        <v>84.62</v>
      </c>
      <c r="C138">
        <v>-0.62</v>
      </c>
      <c r="D138">
        <v>44.84</v>
      </c>
      <c r="E138" t="s">
        <v>1</v>
      </c>
      <c r="F138">
        <v>42</v>
      </c>
    </row>
    <row r="139" spans="1:6" x14ac:dyDescent="0.3">
      <c r="A139">
        <v>138</v>
      </c>
      <c r="B139">
        <v>54.62</v>
      </c>
      <c r="C139">
        <v>3.39</v>
      </c>
      <c r="D139">
        <v>48.92</v>
      </c>
      <c r="E139" t="s">
        <v>0</v>
      </c>
      <c r="F139">
        <v>35</v>
      </c>
    </row>
    <row r="140" spans="1:6" x14ac:dyDescent="0.3">
      <c r="A140">
        <v>139</v>
      </c>
      <c r="B140">
        <v>80.13</v>
      </c>
      <c r="C140">
        <v>-3.39</v>
      </c>
      <c r="D140">
        <v>67.31</v>
      </c>
      <c r="E140" t="s">
        <v>1</v>
      </c>
      <c r="F140">
        <v>78</v>
      </c>
    </row>
    <row r="141" spans="1:6" x14ac:dyDescent="0.3">
      <c r="A141">
        <v>140</v>
      </c>
      <c r="B141">
        <v>100.48</v>
      </c>
      <c r="C141">
        <v>-4.75</v>
      </c>
      <c r="D141">
        <v>66.069999999999993</v>
      </c>
      <c r="E141" t="s">
        <v>1</v>
      </c>
      <c r="F141">
        <v>88</v>
      </c>
    </row>
    <row r="142" spans="1:6" x14ac:dyDescent="0.3">
      <c r="A142">
        <v>141</v>
      </c>
      <c r="B142">
        <v>20.37</v>
      </c>
      <c r="C142">
        <v>-0.51</v>
      </c>
      <c r="D142">
        <v>24.91</v>
      </c>
      <c r="E142" t="s">
        <v>0</v>
      </c>
      <c r="F142">
        <v>87</v>
      </c>
    </row>
    <row r="143" spans="1:6" x14ac:dyDescent="0.3">
      <c r="A143">
        <v>142</v>
      </c>
      <c r="B143">
        <v>2.2999999999999998</v>
      </c>
      <c r="C143">
        <v>-2.63</v>
      </c>
      <c r="D143">
        <v>47.67</v>
      </c>
      <c r="E143" t="s">
        <v>0</v>
      </c>
      <c r="F143">
        <v>40</v>
      </c>
    </row>
    <row r="144" spans="1:6" x14ac:dyDescent="0.3">
      <c r="A144">
        <v>143</v>
      </c>
      <c r="B144">
        <v>93.49</v>
      </c>
      <c r="C144">
        <v>-4.5</v>
      </c>
      <c r="E144" t="s">
        <v>1</v>
      </c>
      <c r="F144">
        <v>97</v>
      </c>
    </row>
    <row r="145" spans="1:6" x14ac:dyDescent="0.3">
      <c r="A145">
        <v>144</v>
      </c>
      <c r="B145">
        <v>73.16</v>
      </c>
      <c r="C145">
        <v>2.25</v>
      </c>
      <c r="D145">
        <v>30.98</v>
      </c>
      <c r="E145" t="s">
        <v>0</v>
      </c>
      <c r="F145">
        <v>97</v>
      </c>
    </row>
    <row r="146" spans="1:6" x14ac:dyDescent="0.3">
      <c r="A146">
        <v>145</v>
      </c>
      <c r="B146">
        <v>83.96</v>
      </c>
      <c r="C146">
        <v>-3.88</v>
      </c>
      <c r="D146">
        <v>77.91</v>
      </c>
      <c r="E146" t="s">
        <v>1</v>
      </c>
      <c r="F146">
        <v>89</v>
      </c>
    </row>
    <row r="147" spans="1:6" x14ac:dyDescent="0.3">
      <c r="A147">
        <v>146</v>
      </c>
      <c r="B147">
        <v>100.58</v>
      </c>
      <c r="C147">
        <v>1.08</v>
      </c>
      <c r="E147" t="s">
        <v>0</v>
      </c>
      <c r="F147">
        <v>31</v>
      </c>
    </row>
    <row r="148" spans="1:6" x14ac:dyDescent="0.3">
      <c r="A148">
        <v>147</v>
      </c>
      <c r="B148">
        <v>96.34</v>
      </c>
      <c r="C148">
        <v>-2.19</v>
      </c>
      <c r="D148">
        <v>49.34</v>
      </c>
      <c r="E148" t="s">
        <v>0</v>
      </c>
      <c r="F148">
        <v>35</v>
      </c>
    </row>
    <row r="149" spans="1:6" x14ac:dyDescent="0.3">
      <c r="A149">
        <v>148</v>
      </c>
      <c r="B149">
        <v>115.31</v>
      </c>
      <c r="C149">
        <v>-3.27</v>
      </c>
      <c r="D149">
        <v>31.77</v>
      </c>
      <c r="E149" t="s">
        <v>0</v>
      </c>
      <c r="F149">
        <v>33</v>
      </c>
    </row>
    <row r="150" spans="1:6" x14ac:dyDescent="0.3">
      <c r="A150">
        <v>149</v>
      </c>
      <c r="B150">
        <v>64.31</v>
      </c>
      <c r="C150">
        <v>-1.2</v>
      </c>
      <c r="D150">
        <v>81.55</v>
      </c>
      <c r="E150" t="s">
        <v>1</v>
      </c>
      <c r="F150">
        <v>80</v>
      </c>
    </row>
    <row r="151" spans="1:6" x14ac:dyDescent="0.3">
      <c r="A151">
        <v>150</v>
      </c>
      <c r="B151">
        <v>58.62</v>
      </c>
      <c r="C151">
        <v>3.01</v>
      </c>
      <c r="E151" t="s">
        <v>0</v>
      </c>
      <c r="F151">
        <v>90</v>
      </c>
    </row>
    <row r="152" spans="1:6" x14ac:dyDescent="0.3">
      <c r="A152">
        <v>151</v>
      </c>
      <c r="B152">
        <v>48.23</v>
      </c>
      <c r="C152">
        <v>-1.08</v>
      </c>
      <c r="D152">
        <v>36.200000000000003</v>
      </c>
      <c r="E152" t="s">
        <v>1</v>
      </c>
      <c r="F152">
        <v>65</v>
      </c>
    </row>
    <row r="153" spans="1:6" x14ac:dyDescent="0.3">
      <c r="A153">
        <v>152</v>
      </c>
      <c r="B153">
        <v>18.440000000000001</v>
      </c>
      <c r="C153">
        <v>2.5099999999999998</v>
      </c>
      <c r="E153" t="s">
        <v>0</v>
      </c>
      <c r="F153">
        <v>51</v>
      </c>
    </row>
    <row r="154" spans="1:6" x14ac:dyDescent="0.3">
      <c r="A154">
        <v>153</v>
      </c>
      <c r="B154">
        <v>68.709999999999994</v>
      </c>
      <c r="C154">
        <v>-3.75</v>
      </c>
      <c r="D154">
        <v>71.2</v>
      </c>
      <c r="E154" t="s">
        <v>1</v>
      </c>
      <c r="F154">
        <v>34</v>
      </c>
    </row>
    <row r="155" spans="1:6" x14ac:dyDescent="0.3">
      <c r="A155">
        <v>154</v>
      </c>
      <c r="B155">
        <v>33.24</v>
      </c>
      <c r="C155">
        <v>2.73</v>
      </c>
      <c r="D155">
        <v>87.07</v>
      </c>
      <c r="E155" t="s">
        <v>0</v>
      </c>
      <c r="F155">
        <v>63</v>
      </c>
    </row>
    <row r="156" spans="1:6" x14ac:dyDescent="0.3">
      <c r="A156">
        <v>155</v>
      </c>
      <c r="B156">
        <v>110.56</v>
      </c>
      <c r="C156">
        <v>-2.63</v>
      </c>
      <c r="D156">
        <v>35.43</v>
      </c>
      <c r="E156" t="s">
        <v>1</v>
      </c>
      <c r="F156">
        <v>36</v>
      </c>
    </row>
    <row r="157" spans="1:6" x14ac:dyDescent="0.3">
      <c r="A157">
        <v>156</v>
      </c>
      <c r="B157">
        <v>69.98</v>
      </c>
      <c r="C157">
        <v>1.77</v>
      </c>
      <c r="D157">
        <v>82.03</v>
      </c>
      <c r="E157" t="s">
        <v>1</v>
      </c>
      <c r="F157">
        <v>60</v>
      </c>
    </row>
    <row r="158" spans="1:6" x14ac:dyDescent="0.3">
      <c r="A158">
        <v>157</v>
      </c>
      <c r="B158">
        <v>71.14</v>
      </c>
      <c r="C158">
        <v>0.66</v>
      </c>
      <c r="D158">
        <v>85.4</v>
      </c>
      <c r="E158" t="s">
        <v>1</v>
      </c>
      <c r="F158">
        <v>73</v>
      </c>
    </row>
    <row r="159" spans="1:6" x14ac:dyDescent="0.3">
      <c r="A159">
        <v>158</v>
      </c>
      <c r="B159">
        <v>42.59</v>
      </c>
      <c r="C159">
        <v>4.29</v>
      </c>
      <c r="D159">
        <v>84.15</v>
      </c>
      <c r="E159" t="s">
        <v>1</v>
      </c>
      <c r="F159">
        <v>63</v>
      </c>
    </row>
    <row r="160" spans="1:6" x14ac:dyDescent="0.3">
      <c r="A160">
        <v>159</v>
      </c>
      <c r="B160">
        <v>6.24</v>
      </c>
      <c r="C160">
        <v>-1.1299999999999999</v>
      </c>
      <c r="D160">
        <v>64.48</v>
      </c>
      <c r="E160" t="s">
        <v>1</v>
      </c>
      <c r="F160">
        <v>24</v>
      </c>
    </row>
    <row r="161" spans="1:6" x14ac:dyDescent="0.3">
      <c r="A161">
        <v>160</v>
      </c>
      <c r="B161">
        <v>3.81</v>
      </c>
      <c r="C161">
        <v>-4.34</v>
      </c>
      <c r="D161">
        <v>64.09</v>
      </c>
      <c r="E161" t="s">
        <v>1</v>
      </c>
      <c r="F161">
        <v>46</v>
      </c>
    </row>
    <row r="162" spans="1:6" x14ac:dyDescent="0.3">
      <c r="A162">
        <v>161</v>
      </c>
      <c r="B162">
        <v>50.8</v>
      </c>
      <c r="C162">
        <v>-4.8099999999999996</v>
      </c>
      <c r="D162">
        <v>48.22</v>
      </c>
      <c r="E162" t="s">
        <v>0</v>
      </c>
      <c r="F162">
        <v>97</v>
      </c>
    </row>
    <row r="163" spans="1:6" x14ac:dyDescent="0.3">
      <c r="A163">
        <v>162</v>
      </c>
      <c r="B163">
        <v>10.15</v>
      </c>
      <c r="C163">
        <v>3.27</v>
      </c>
      <c r="D163">
        <v>72.67</v>
      </c>
      <c r="E163" t="s">
        <v>1</v>
      </c>
      <c r="F163">
        <v>98</v>
      </c>
    </row>
    <row r="164" spans="1:6" x14ac:dyDescent="0.3">
      <c r="A164">
        <v>163</v>
      </c>
      <c r="B164">
        <v>72.819999999999993</v>
      </c>
      <c r="C164">
        <v>0.25</v>
      </c>
      <c r="D164">
        <v>57.19</v>
      </c>
      <c r="E164" t="s">
        <v>1</v>
      </c>
      <c r="F164">
        <v>62</v>
      </c>
    </row>
    <row r="165" spans="1:6" x14ac:dyDescent="0.3">
      <c r="A165">
        <v>164</v>
      </c>
      <c r="B165">
        <v>105.72</v>
      </c>
      <c r="C165">
        <v>2.75</v>
      </c>
      <c r="D165">
        <v>67.42</v>
      </c>
      <c r="E165" t="s">
        <v>1</v>
      </c>
      <c r="F165">
        <v>50</v>
      </c>
    </row>
    <row r="166" spans="1:6" x14ac:dyDescent="0.3">
      <c r="A166">
        <v>165</v>
      </c>
      <c r="B166">
        <v>105.95</v>
      </c>
      <c r="C166">
        <v>-2.66</v>
      </c>
      <c r="E166" t="s">
        <v>0</v>
      </c>
      <c r="F166">
        <v>36</v>
      </c>
    </row>
    <row r="167" spans="1:6" x14ac:dyDescent="0.3">
      <c r="A167">
        <v>166</v>
      </c>
      <c r="B167">
        <v>79.09</v>
      </c>
      <c r="C167">
        <v>-1.55</v>
      </c>
      <c r="D167">
        <v>71.2</v>
      </c>
      <c r="E167" t="s">
        <v>0</v>
      </c>
      <c r="F167">
        <v>73</v>
      </c>
    </row>
    <row r="168" spans="1:6" x14ac:dyDescent="0.3">
      <c r="A168">
        <v>167</v>
      </c>
      <c r="B168">
        <v>25.35</v>
      </c>
      <c r="C168">
        <v>-4.7</v>
      </c>
      <c r="D168">
        <v>77.709999999999994</v>
      </c>
      <c r="E168" t="s">
        <v>0</v>
      </c>
      <c r="F168">
        <v>81</v>
      </c>
    </row>
    <row r="169" spans="1:6" x14ac:dyDescent="0.3">
      <c r="A169">
        <v>168</v>
      </c>
      <c r="B169">
        <v>103.56</v>
      </c>
      <c r="C169">
        <v>4.6100000000000003</v>
      </c>
      <c r="E169" t="s">
        <v>1</v>
      </c>
      <c r="F169">
        <v>51</v>
      </c>
    </row>
    <row r="170" spans="1:6" x14ac:dyDescent="0.3">
      <c r="A170">
        <v>169</v>
      </c>
      <c r="B170">
        <v>106.33</v>
      </c>
      <c r="C170">
        <v>1.68</v>
      </c>
      <c r="D170">
        <v>78.31</v>
      </c>
      <c r="E170" t="s">
        <v>0</v>
      </c>
      <c r="F170">
        <v>59</v>
      </c>
    </row>
    <row r="171" spans="1:6" x14ac:dyDescent="0.3">
      <c r="A171">
        <v>170</v>
      </c>
      <c r="B171">
        <v>23.6</v>
      </c>
      <c r="C171">
        <v>4.33</v>
      </c>
      <c r="D171">
        <v>57.82</v>
      </c>
      <c r="E171" t="s">
        <v>0</v>
      </c>
      <c r="F171">
        <v>32</v>
      </c>
    </row>
    <row r="172" spans="1:6" x14ac:dyDescent="0.3">
      <c r="A172">
        <v>171</v>
      </c>
      <c r="B172">
        <v>88.49</v>
      </c>
      <c r="C172">
        <v>-2.35</v>
      </c>
      <c r="D172">
        <v>79.13</v>
      </c>
      <c r="E172" t="s">
        <v>1</v>
      </c>
      <c r="F172">
        <v>54</v>
      </c>
    </row>
    <row r="173" spans="1:6" x14ac:dyDescent="0.3">
      <c r="A173">
        <v>172</v>
      </c>
      <c r="B173">
        <v>34.380000000000003</v>
      </c>
      <c r="C173">
        <v>1.1100000000000001</v>
      </c>
      <c r="D173">
        <v>50.19</v>
      </c>
      <c r="E173" t="s">
        <v>1</v>
      </c>
      <c r="F173">
        <v>24</v>
      </c>
    </row>
    <row r="174" spans="1:6" x14ac:dyDescent="0.3">
      <c r="A174">
        <v>173</v>
      </c>
      <c r="B174">
        <v>96.32</v>
      </c>
      <c r="C174">
        <v>1.78</v>
      </c>
      <c r="D174">
        <v>46.53</v>
      </c>
      <c r="E174" t="s">
        <v>0</v>
      </c>
      <c r="F174">
        <v>92</v>
      </c>
    </row>
    <row r="175" spans="1:6" x14ac:dyDescent="0.3">
      <c r="A175">
        <v>174</v>
      </c>
      <c r="B175">
        <v>119.67</v>
      </c>
      <c r="C175">
        <v>-1.82</v>
      </c>
      <c r="D175">
        <v>84.05</v>
      </c>
      <c r="E175" t="s">
        <v>1</v>
      </c>
      <c r="F175">
        <v>48</v>
      </c>
    </row>
    <row r="176" spans="1:6" x14ac:dyDescent="0.3">
      <c r="A176">
        <v>175</v>
      </c>
      <c r="B176">
        <v>3.6</v>
      </c>
      <c r="C176">
        <v>3.48</v>
      </c>
      <c r="D176">
        <v>37.58</v>
      </c>
      <c r="E176" t="s">
        <v>1</v>
      </c>
      <c r="F176">
        <v>89</v>
      </c>
    </row>
    <row r="177" spans="1:6" x14ac:dyDescent="0.3">
      <c r="A177">
        <v>176</v>
      </c>
      <c r="B177">
        <v>107.68</v>
      </c>
      <c r="C177">
        <v>4.47</v>
      </c>
      <c r="D177">
        <v>79.09</v>
      </c>
      <c r="E177" t="s">
        <v>1</v>
      </c>
      <c r="F177">
        <v>44</v>
      </c>
    </row>
    <row r="178" spans="1:6" x14ac:dyDescent="0.3">
      <c r="A178">
        <v>177</v>
      </c>
      <c r="B178">
        <v>74.72</v>
      </c>
      <c r="C178">
        <v>3.85</v>
      </c>
      <c r="D178">
        <v>53.88</v>
      </c>
      <c r="E178" t="s">
        <v>1</v>
      </c>
      <c r="F178">
        <v>41</v>
      </c>
    </row>
    <row r="179" spans="1:6" x14ac:dyDescent="0.3">
      <c r="A179">
        <v>178</v>
      </c>
      <c r="B179">
        <v>116.81</v>
      </c>
      <c r="C179">
        <v>2.39</v>
      </c>
      <c r="E179" t="s">
        <v>0</v>
      </c>
      <c r="F179">
        <v>85</v>
      </c>
    </row>
    <row r="180" spans="1:6" x14ac:dyDescent="0.3">
      <c r="A180">
        <v>179</v>
      </c>
      <c r="B180">
        <v>55.8</v>
      </c>
      <c r="C180">
        <v>-2.23</v>
      </c>
      <c r="D180">
        <v>41.59</v>
      </c>
      <c r="E180" t="s">
        <v>1</v>
      </c>
      <c r="F180">
        <v>64</v>
      </c>
    </row>
    <row r="181" spans="1:6" x14ac:dyDescent="0.3">
      <c r="A181">
        <v>180</v>
      </c>
      <c r="B181">
        <v>101.69</v>
      </c>
      <c r="C181">
        <v>-2.1800000000000002</v>
      </c>
      <c r="D181">
        <v>60.11</v>
      </c>
      <c r="E181" t="s">
        <v>0</v>
      </c>
      <c r="F181">
        <v>88</v>
      </c>
    </row>
    <row r="182" spans="1:6" x14ac:dyDescent="0.3">
      <c r="A182">
        <v>181</v>
      </c>
      <c r="B182">
        <v>7.49</v>
      </c>
      <c r="C182">
        <v>4.63</v>
      </c>
      <c r="D182">
        <v>42.76</v>
      </c>
      <c r="E182" t="s">
        <v>0</v>
      </c>
      <c r="F182">
        <v>91</v>
      </c>
    </row>
    <row r="183" spans="1:6" x14ac:dyDescent="0.3">
      <c r="A183">
        <v>182</v>
      </c>
      <c r="B183">
        <v>40.229999999999997</v>
      </c>
      <c r="C183">
        <v>-4.9000000000000004</v>
      </c>
      <c r="D183">
        <v>22.75</v>
      </c>
      <c r="E183" t="s">
        <v>0</v>
      </c>
      <c r="F183">
        <v>20</v>
      </c>
    </row>
    <row r="184" spans="1:6" x14ac:dyDescent="0.3">
      <c r="A184">
        <v>183</v>
      </c>
      <c r="B184">
        <v>8.0399999999999991</v>
      </c>
      <c r="C184">
        <v>2.16</v>
      </c>
      <c r="D184">
        <v>39.04</v>
      </c>
      <c r="E184" t="s">
        <v>0</v>
      </c>
      <c r="F184">
        <v>63</v>
      </c>
    </row>
    <row r="185" spans="1:6" x14ac:dyDescent="0.3">
      <c r="A185">
        <v>184</v>
      </c>
      <c r="B185">
        <v>117.04</v>
      </c>
      <c r="C185">
        <v>2.06</v>
      </c>
      <c r="D185">
        <v>20.45</v>
      </c>
      <c r="E185" t="s">
        <v>1</v>
      </c>
      <c r="F185">
        <v>94</v>
      </c>
    </row>
    <row r="186" spans="1:6" x14ac:dyDescent="0.3">
      <c r="A186">
        <v>185</v>
      </c>
      <c r="B186">
        <v>98.04</v>
      </c>
      <c r="C186">
        <v>1.23</v>
      </c>
      <c r="D186">
        <v>88.48</v>
      </c>
      <c r="E186" t="s">
        <v>1</v>
      </c>
      <c r="F186">
        <v>58</v>
      </c>
    </row>
    <row r="187" spans="1:6" x14ac:dyDescent="0.3">
      <c r="A187">
        <v>186</v>
      </c>
      <c r="B187">
        <v>102.31</v>
      </c>
      <c r="C187">
        <v>4.9000000000000004</v>
      </c>
      <c r="D187">
        <v>87.6</v>
      </c>
      <c r="E187" t="s">
        <v>1</v>
      </c>
      <c r="F187">
        <v>73</v>
      </c>
    </row>
    <row r="188" spans="1:6" x14ac:dyDescent="0.3">
      <c r="A188">
        <v>187</v>
      </c>
      <c r="B188">
        <v>112.56</v>
      </c>
      <c r="C188">
        <v>-1.88</v>
      </c>
      <c r="D188">
        <v>47.66</v>
      </c>
      <c r="E188" t="s">
        <v>0</v>
      </c>
      <c r="F188">
        <v>94</v>
      </c>
    </row>
    <row r="189" spans="1:6" x14ac:dyDescent="0.3">
      <c r="A189">
        <v>188</v>
      </c>
      <c r="B189">
        <v>10.210000000000001</v>
      </c>
      <c r="C189">
        <v>-1.6</v>
      </c>
      <c r="D189">
        <v>70.989999999999995</v>
      </c>
      <c r="E189" t="s">
        <v>0</v>
      </c>
      <c r="F189">
        <v>48</v>
      </c>
    </row>
    <row r="190" spans="1:6" x14ac:dyDescent="0.3">
      <c r="A190">
        <v>189</v>
      </c>
      <c r="B190">
        <v>46.27</v>
      </c>
      <c r="C190">
        <v>-4.21</v>
      </c>
      <c r="E190" t="s">
        <v>0</v>
      </c>
      <c r="F190">
        <v>73</v>
      </c>
    </row>
    <row r="191" spans="1:6" x14ac:dyDescent="0.3">
      <c r="A191">
        <v>190</v>
      </c>
      <c r="B191">
        <v>8.52</v>
      </c>
      <c r="C191">
        <v>-0.56999999999999995</v>
      </c>
      <c r="D191">
        <v>66.98</v>
      </c>
      <c r="E191" t="s">
        <v>1</v>
      </c>
      <c r="F191">
        <v>35</v>
      </c>
    </row>
    <row r="192" spans="1:6" x14ac:dyDescent="0.3">
      <c r="A192">
        <v>191</v>
      </c>
      <c r="B192">
        <v>25.3</v>
      </c>
      <c r="C192">
        <v>-2.39</v>
      </c>
      <c r="D192">
        <v>76.38</v>
      </c>
      <c r="E192" t="s">
        <v>0</v>
      </c>
      <c r="F192">
        <v>39</v>
      </c>
    </row>
    <row r="193" spans="1:6" x14ac:dyDescent="0.3">
      <c r="A193">
        <v>192</v>
      </c>
      <c r="B193">
        <v>27.52</v>
      </c>
      <c r="C193">
        <v>-1.57</v>
      </c>
      <c r="D193">
        <v>86.27</v>
      </c>
      <c r="E193" t="s">
        <v>1</v>
      </c>
      <c r="F193">
        <v>65</v>
      </c>
    </row>
    <row r="194" spans="1:6" x14ac:dyDescent="0.3">
      <c r="A194">
        <v>193</v>
      </c>
      <c r="B194">
        <v>56.29</v>
      </c>
      <c r="C194">
        <v>3.35</v>
      </c>
      <c r="D194">
        <v>48.01</v>
      </c>
      <c r="E194" t="s">
        <v>1</v>
      </c>
      <c r="F194">
        <v>86</v>
      </c>
    </row>
    <row r="195" spans="1:6" x14ac:dyDescent="0.3">
      <c r="A195">
        <v>194</v>
      </c>
      <c r="B195">
        <v>32.229999999999997</v>
      </c>
      <c r="C195">
        <v>4.3499999999999996</v>
      </c>
      <c r="D195">
        <v>74.83</v>
      </c>
      <c r="E195" t="s">
        <v>1</v>
      </c>
      <c r="F195">
        <v>84</v>
      </c>
    </row>
    <row r="196" spans="1:6" x14ac:dyDescent="0.3">
      <c r="A196">
        <v>195</v>
      </c>
      <c r="B196">
        <v>12.12</v>
      </c>
      <c r="C196">
        <v>-3.14</v>
      </c>
      <c r="D196">
        <v>38.61</v>
      </c>
      <c r="E196" t="s">
        <v>1</v>
      </c>
      <c r="F196">
        <v>77</v>
      </c>
    </row>
    <row r="197" spans="1:6" x14ac:dyDescent="0.3">
      <c r="A197">
        <v>196</v>
      </c>
      <c r="B197">
        <v>20.100000000000001</v>
      </c>
      <c r="C197">
        <v>-1.27</v>
      </c>
      <c r="D197">
        <v>89.32</v>
      </c>
      <c r="E197" t="s">
        <v>0</v>
      </c>
      <c r="F197">
        <v>72</v>
      </c>
    </row>
    <row r="198" spans="1:6" x14ac:dyDescent="0.3">
      <c r="A198">
        <v>197</v>
      </c>
      <c r="B198">
        <v>17.670000000000002</v>
      </c>
      <c r="C198">
        <v>4.29</v>
      </c>
      <c r="D198">
        <v>21.8</v>
      </c>
      <c r="E198" t="s">
        <v>1</v>
      </c>
      <c r="F198">
        <v>20</v>
      </c>
    </row>
    <row r="199" spans="1:6" x14ac:dyDescent="0.3">
      <c r="A199">
        <v>198</v>
      </c>
      <c r="B199">
        <v>116.77</v>
      </c>
      <c r="C199">
        <v>-4.38</v>
      </c>
      <c r="D199">
        <v>62.25</v>
      </c>
      <c r="E199" t="s">
        <v>0</v>
      </c>
      <c r="F199">
        <v>85</v>
      </c>
    </row>
    <row r="200" spans="1:6" x14ac:dyDescent="0.3">
      <c r="A200">
        <v>199</v>
      </c>
      <c r="B200">
        <v>91.12</v>
      </c>
      <c r="C200">
        <v>-4.08</v>
      </c>
      <c r="D200">
        <v>66.17</v>
      </c>
      <c r="E200" t="s">
        <v>1</v>
      </c>
      <c r="F200">
        <v>48</v>
      </c>
    </row>
    <row r="201" spans="1:6" x14ac:dyDescent="0.3">
      <c r="A201">
        <v>200</v>
      </c>
      <c r="B201">
        <v>116.13</v>
      </c>
      <c r="C201">
        <v>-3.37</v>
      </c>
      <c r="D201">
        <v>68.16</v>
      </c>
      <c r="E201" t="s">
        <v>0</v>
      </c>
      <c r="F201">
        <v>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5CFC-C595-4E15-B757-33AD7D17AB78}">
  <dimension ref="A1:L201"/>
  <sheetViews>
    <sheetView workbookViewId="0">
      <selection activeCell="E9" sqref="E9"/>
    </sheetView>
  </sheetViews>
  <sheetFormatPr defaultRowHeight="14.4" x14ac:dyDescent="0.3"/>
  <cols>
    <col min="1" max="1" width="10.77734375" customWidth="1"/>
    <col min="2" max="2" width="10.109375" customWidth="1"/>
    <col min="3" max="3" width="13.21875" bestFit="1" customWidth="1"/>
    <col min="4" max="5" width="14" customWidth="1"/>
    <col min="6" max="6" width="13.5546875" customWidth="1"/>
    <col min="7" max="8" width="17.6640625" customWidth="1"/>
    <col min="9" max="10" width="11.5546875" customWidth="1"/>
    <col min="11" max="11" width="10" customWidth="1"/>
    <col min="12" max="12" width="10.6640625" customWidth="1"/>
  </cols>
  <sheetData>
    <row r="1" spans="1:12" s="2" customFormat="1" ht="43.8" customHeight="1" x14ac:dyDescent="0.3">
      <c r="A1" t="s">
        <v>4</v>
      </c>
      <c r="B1" s="2" t="s">
        <v>5</v>
      </c>
      <c r="C1" s="2" t="s">
        <v>17</v>
      </c>
      <c r="D1" s="2" t="s">
        <v>6</v>
      </c>
      <c r="E1" s="2" t="s">
        <v>19</v>
      </c>
      <c r="F1" s="2" t="s">
        <v>7</v>
      </c>
      <c r="G1" s="2" t="s">
        <v>2</v>
      </c>
      <c r="H1" s="2" t="s">
        <v>3</v>
      </c>
      <c r="I1" s="2" t="s">
        <v>8</v>
      </c>
      <c r="J1" s="2" t="s">
        <v>14</v>
      </c>
      <c r="K1" s="2" t="s">
        <v>9</v>
      </c>
      <c r="L1" s="2" t="s">
        <v>10</v>
      </c>
    </row>
    <row r="2" spans="1:12" x14ac:dyDescent="0.3">
      <c r="A2">
        <v>1</v>
      </c>
      <c r="B2">
        <v>80.540000000000006</v>
      </c>
      <c r="C2" t="str">
        <f>IF(Table1[[#This Row],[Speed]]&lt;30,"Low",IF(Table1[[#This Row],[Speed]]&lt;60,"Medium","Fast"))</f>
        <v>Fast</v>
      </c>
      <c r="D2">
        <v>-0.6</v>
      </c>
      <c r="E2" t="str">
        <f>IF(Table1[[#This Row],[Acceleration]]&gt;0,"Accelerating",IF(Table1[[#This Row],[Acceleration]]&lt;0,"Braking","Constant"))</f>
        <v>Braking</v>
      </c>
      <c r="F2">
        <v>61.66</v>
      </c>
      <c r="G2">
        <f>IF(ISBLANK(Table1[[#This Row],[Temperature]]),AVERAGE(Table1[Temperature]),Table1[[#This Row],[Temperature]])</f>
        <v>61.66</v>
      </c>
      <c r="H2">
        <f>IF(ISBLANK(Table1[[#This Row],[Temperature]]),"Unknown",Table1[[#This Row],[Temperature]])</f>
        <v>61.66</v>
      </c>
      <c r="I2" t="s">
        <v>0</v>
      </c>
      <c r="J2" t="str">
        <f>PROPER(Table1[[#This Row],[Engine Status]])</f>
        <v>On</v>
      </c>
      <c r="K2">
        <v>56</v>
      </c>
      <c r="L2" t="str">
        <f>IF(Table1[[#This Row],[Battery Level]]&lt;30,"Low",IF(Table1[[#This Row],[Battery Level]]&lt;60,"Medium","High"))</f>
        <v>Medium</v>
      </c>
    </row>
    <row r="3" spans="1:12" x14ac:dyDescent="0.3">
      <c r="A3">
        <v>2</v>
      </c>
      <c r="B3">
        <v>74.459999999999994</v>
      </c>
      <c r="C3" t="str">
        <f>IF(Table1[[#This Row],[Speed]]&lt;30,"Low",IF(Table1[[#This Row],[Speed]]&lt;60,"Medium","Fast"))</f>
        <v>Fast</v>
      </c>
      <c r="D3">
        <v>-2.2200000000000002</v>
      </c>
      <c r="E3" t="str">
        <f>IF(Table1[[#This Row],[Acceleration]]&gt;0,"Accelerating",IF(Table1[[#This Row],[Acceleration]]&lt;0,"Braking","Constant"))</f>
        <v>Braking</v>
      </c>
      <c r="F3">
        <v>30.53</v>
      </c>
      <c r="G3">
        <f>IF(ISBLANK(Table1[[#This Row],[Temperature]]),AVERAGE(Table1[Temperature]),Table1[[#This Row],[Temperature]])</f>
        <v>30.53</v>
      </c>
      <c r="H3">
        <f>IF(ISBLANK(Table1[[#This Row],[Temperature]]),"Unknown",Table1[[#This Row],[Temperature]])</f>
        <v>30.53</v>
      </c>
      <c r="I3" t="s">
        <v>0</v>
      </c>
      <c r="J3" t="str">
        <f>PROPER(Table1[[#This Row],[Engine Status]])</f>
        <v>On</v>
      </c>
      <c r="K3">
        <v>41</v>
      </c>
      <c r="L3" t="str">
        <f>IF(Table1[[#This Row],[Battery Level]]&lt;30,"Low",IF(Table1[[#This Row],[Battery Level]]&lt;60,"Medium","High"))</f>
        <v>Medium</v>
      </c>
    </row>
    <row r="4" spans="1:12" x14ac:dyDescent="0.3">
      <c r="A4">
        <v>3</v>
      </c>
      <c r="B4">
        <v>89.07</v>
      </c>
      <c r="C4" t="str">
        <f>IF(Table1[[#This Row],[Speed]]&lt;30,"Low",IF(Table1[[#This Row],[Speed]]&lt;60,"Medium","Fast"))</f>
        <v>Fast</v>
      </c>
      <c r="D4">
        <v>2.98</v>
      </c>
      <c r="E4" t="str">
        <f>IF(Table1[[#This Row],[Acceleration]]&gt;0,"Accelerating",IF(Table1[[#This Row],[Acceleration]]&lt;0,"Braking","Constant"))</f>
        <v>Accelerating</v>
      </c>
      <c r="G4">
        <f>IF(ISBLANK(Table1[[#This Row],[Temperature]]),AVERAGE(Table1[Temperature]),Table1[[#This Row],[Temperature]])</f>
        <v>56.31555555555552</v>
      </c>
      <c r="H4" t="str">
        <f>IF(ISBLANK(Table1[[#This Row],[Temperature]]),"Unknown",Table1[[#This Row],[Temperature]])</f>
        <v>Unknown</v>
      </c>
      <c r="I4" t="s">
        <v>0</v>
      </c>
      <c r="J4" t="str">
        <f>PROPER(Table1[[#This Row],[Engine Status]])</f>
        <v>On</v>
      </c>
      <c r="K4">
        <v>77</v>
      </c>
      <c r="L4" t="str">
        <f>IF(Table1[[#This Row],[Battery Level]]&lt;30,"Low",IF(Table1[[#This Row],[Battery Level]]&lt;60,"Medium","High"))</f>
        <v>High</v>
      </c>
    </row>
    <row r="5" spans="1:12" x14ac:dyDescent="0.3">
      <c r="A5">
        <v>4</v>
      </c>
      <c r="B5">
        <v>20.39</v>
      </c>
      <c r="C5" t="str">
        <f>IF(Table1[[#This Row],[Speed]]&lt;30,"Low",IF(Table1[[#This Row],[Speed]]&lt;60,"Medium","Fast"))</f>
        <v>Low</v>
      </c>
      <c r="D5">
        <v>-1.74</v>
      </c>
      <c r="E5" t="str">
        <f>IF(Table1[[#This Row],[Acceleration]]&gt;0,"Accelerating",IF(Table1[[#This Row],[Acceleration]]&lt;0,"Braking","Constant"))</f>
        <v>Braking</v>
      </c>
      <c r="F5">
        <v>51.27</v>
      </c>
      <c r="G5">
        <f>IF(ISBLANK(Table1[[#This Row],[Temperature]]),AVERAGE(Table1[Temperature]),Table1[[#This Row],[Temperature]])</f>
        <v>51.27</v>
      </c>
      <c r="H5">
        <f>IF(ISBLANK(Table1[[#This Row],[Temperature]]),"Unknown",Table1[[#This Row],[Temperature]])</f>
        <v>51.27</v>
      </c>
      <c r="I5" t="s">
        <v>0</v>
      </c>
      <c r="J5" t="str">
        <f>PROPER(Table1[[#This Row],[Engine Status]])</f>
        <v>On</v>
      </c>
      <c r="K5">
        <v>87</v>
      </c>
      <c r="L5" t="str">
        <f>IF(Table1[[#This Row],[Battery Level]]&lt;30,"Low",IF(Table1[[#This Row],[Battery Level]]&lt;60,"Medium","High"))</f>
        <v>High</v>
      </c>
    </row>
    <row r="6" spans="1:12" x14ac:dyDescent="0.3">
      <c r="A6">
        <v>5</v>
      </c>
      <c r="B6">
        <v>23.4</v>
      </c>
      <c r="C6" t="str">
        <f>IF(Table1[[#This Row],[Speed]]&lt;30,"Low",IF(Table1[[#This Row],[Speed]]&lt;60,"Medium","Fast"))</f>
        <v>Low</v>
      </c>
      <c r="D6">
        <v>-2.0099999999999998</v>
      </c>
      <c r="E6" t="str">
        <f>IF(Table1[[#This Row],[Acceleration]]&gt;0,"Accelerating",IF(Table1[[#This Row],[Acceleration]]&lt;0,"Braking","Constant"))</f>
        <v>Braking</v>
      </c>
      <c r="G6">
        <f>IF(ISBLANK(Table1[[#This Row],[Temperature]]),AVERAGE(Table1[Temperature]),Table1[[#This Row],[Temperature]])</f>
        <v>56.31555555555552</v>
      </c>
      <c r="H6" t="str">
        <f>IF(ISBLANK(Table1[[#This Row],[Temperature]]),"Unknown",Table1[[#This Row],[Temperature]])</f>
        <v>Unknown</v>
      </c>
      <c r="I6" t="s">
        <v>0</v>
      </c>
      <c r="J6" t="str">
        <f>PROPER(Table1[[#This Row],[Engine Status]])</f>
        <v>On</v>
      </c>
      <c r="K6">
        <v>63</v>
      </c>
      <c r="L6" t="str">
        <f>IF(Table1[[#This Row],[Battery Level]]&lt;30,"Low",IF(Table1[[#This Row],[Battery Level]]&lt;60,"Medium","High"))</f>
        <v>High</v>
      </c>
    </row>
    <row r="7" spans="1:12" x14ac:dyDescent="0.3">
      <c r="A7">
        <v>6</v>
      </c>
      <c r="B7">
        <v>106.85</v>
      </c>
      <c r="C7" t="str">
        <f>IF(Table1[[#This Row],[Speed]]&lt;30,"Low",IF(Table1[[#This Row],[Speed]]&lt;60,"Medium","Fast"))</f>
        <v>Fast</v>
      </c>
      <c r="D7">
        <v>-2.67</v>
      </c>
      <c r="E7" t="str">
        <f>IF(Table1[[#This Row],[Acceleration]]&gt;0,"Accelerating",IF(Table1[[#This Row],[Acceleration]]&lt;0,"Braking","Constant"))</f>
        <v>Braking</v>
      </c>
      <c r="F7">
        <v>37.270000000000003</v>
      </c>
      <c r="G7">
        <f>IF(ISBLANK(Table1[[#This Row],[Temperature]]),AVERAGE(Table1[Temperature]),Table1[[#This Row],[Temperature]])</f>
        <v>37.270000000000003</v>
      </c>
      <c r="H7">
        <f>IF(ISBLANK(Table1[[#This Row],[Temperature]]),"Unknown",Table1[[#This Row],[Temperature]])</f>
        <v>37.270000000000003</v>
      </c>
      <c r="I7" t="s">
        <v>1</v>
      </c>
      <c r="J7" t="str">
        <f>PROPER(Table1[[#This Row],[Engine Status]])</f>
        <v>Off</v>
      </c>
      <c r="K7">
        <v>53</v>
      </c>
      <c r="L7" t="str">
        <f>IF(Table1[[#This Row],[Battery Level]]&lt;30,"Low",IF(Table1[[#This Row],[Battery Level]]&lt;60,"Medium","High"))</f>
        <v>Medium</v>
      </c>
    </row>
    <row r="8" spans="1:12" x14ac:dyDescent="0.3">
      <c r="A8">
        <v>7</v>
      </c>
      <c r="B8">
        <v>90</v>
      </c>
      <c r="C8" t="str">
        <f>IF(Table1[[#This Row],[Speed]]&lt;30,"Low",IF(Table1[[#This Row],[Speed]]&lt;60,"Medium","Fast"))</f>
        <v>Fast</v>
      </c>
      <c r="D8">
        <v>-3.7</v>
      </c>
      <c r="E8" t="str">
        <f>IF(Table1[[#This Row],[Acceleration]]&gt;0,"Accelerating",IF(Table1[[#This Row],[Acceleration]]&lt;0,"Braking","Constant"))</f>
        <v>Braking</v>
      </c>
      <c r="F8">
        <v>52.97</v>
      </c>
      <c r="G8">
        <f>IF(ISBLANK(Table1[[#This Row],[Temperature]]),AVERAGE(Table1[Temperature]),Table1[[#This Row],[Temperature]])</f>
        <v>52.97</v>
      </c>
      <c r="H8">
        <f>IF(ISBLANK(Table1[[#This Row],[Temperature]]),"Unknown",Table1[[#This Row],[Temperature]])</f>
        <v>52.97</v>
      </c>
      <c r="I8" t="s">
        <v>0</v>
      </c>
      <c r="J8" t="str">
        <f>PROPER(Table1[[#This Row],[Engine Status]])</f>
        <v>On</v>
      </c>
      <c r="K8">
        <v>96</v>
      </c>
      <c r="L8" t="str">
        <f>IF(Table1[[#This Row],[Battery Level]]&lt;30,"Low",IF(Table1[[#This Row],[Battery Level]]&lt;60,"Medium","High"))</f>
        <v>High</v>
      </c>
    </row>
    <row r="9" spans="1:12" x14ac:dyDescent="0.3">
      <c r="A9">
        <v>8</v>
      </c>
      <c r="B9">
        <v>108.99</v>
      </c>
      <c r="C9" t="str">
        <f>IF(Table1[[#This Row],[Speed]]&lt;30,"Low",IF(Table1[[#This Row],[Speed]]&lt;60,"Medium","Fast"))</f>
        <v>Fast</v>
      </c>
      <c r="D9">
        <v>-2.44</v>
      </c>
      <c r="E9" t="str">
        <f>IF(Table1[[#This Row],[Acceleration]]&gt;0,"Accelerating",IF(Table1[[#This Row],[Acceleration]]&lt;0,"Braking","Constant"))</f>
        <v>Braking</v>
      </c>
      <c r="F9">
        <v>66.33</v>
      </c>
      <c r="G9">
        <f>IF(ISBLANK(Table1[[#This Row],[Temperature]]),AVERAGE(Table1[Temperature]),Table1[[#This Row],[Temperature]])</f>
        <v>66.33</v>
      </c>
      <c r="H9">
        <f>IF(ISBLANK(Table1[[#This Row],[Temperature]]),"Unknown",Table1[[#This Row],[Temperature]])</f>
        <v>66.33</v>
      </c>
      <c r="I9" t="s">
        <v>0</v>
      </c>
      <c r="J9" t="str">
        <f>PROPER(Table1[[#This Row],[Engine Status]])</f>
        <v>On</v>
      </c>
      <c r="K9">
        <v>61</v>
      </c>
      <c r="L9" t="str">
        <f>IF(Table1[[#This Row],[Battery Level]]&lt;30,"Low",IF(Table1[[#This Row],[Battery Level]]&lt;60,"Medium","High"))</f>
        <v>High</v>
      </c>
    </row>
    <row r="10" spans="1:12" x14ac:dyDescent="0.3">
      <c r="A10">
        <v>9</v>
      </c>
      <c r="B10">
        <v>91.05</v>
      </c>
      <c r="C10" t="str">
        <f>IF(Table1[[#This Row],[Speed]]&lt;30,"Low",IF(Table1[[#This Row],[Speed]]&lt;60,"Medium","Fast"))</f>
        <v>Fast</v>
      </c>
      <c r="D10">
        <v>-1.45</v>
      </c>
      <c r="E10" t="str">
        <f>IF(Table1[[#This Row],[Acceleration]]&gt;0,"Accelerating",IF(Table1[[#This Row],[Acceleration]]&lt;0,"Braking","Constant"))</f>
        <v>Braking</v>
      </c>
      <c r="F10">
        <v>72.58</v>
      </c>
      <c r="G10">
        <f>IF(ISBLANK(Table1[[#This Row],[Temperature]]),AVERAGE(Table1[Temperature]),Table1[[#This Row],[Temperature]])</f>
        <v>72.58</v>
      </c>
      <c r="H10">
        <f>IF(ISBLANK(Table1[[#This Row],[Temperature]]),"Unknown",Table1[[#This Row],[Temperature]])</f>
        <v>72.58</v>
      </c>
      <c r="I10" t="s">
        <v>0</v>
      </c>
      <c r="J10" t="str">
        <f>PROPER(Table1[[#This Row],[Engine Status]])</f>
        <v>On</v>
      </c>
      <c r="K10">
        <v>28</v>
      </c>
      <c r="L10" t="str">
        <f>IF(Table1[[#This Row],[Battery Level]]&lt;30,"Low",IF(Table1[[#This Row],[Battery Level]]&lt;60,"Medium","High"))</f>
        <v>Low</v>
      </c>
    </row>
    <row r="11" spans="1:12" x14ac:dyDescent="0.3">
      <c r="A11">
        <v>10</v>
      </c>
      <c r="B11">
        <v>71.66</v>
      </c>
      <c r="C11" t="str">
        <f>IF(Table1[[#This Row],[Speed]]&lt;30,"Low",IF(Table1[[#This Row],[Speed]]&lt;60,"Medium","Fast"))</f>
        <v>Fast</v>
      </c>
      <c r="D11">
        <v>1.74</v>
      </c>
      <c r="E11" t="str">
        <f>IF(Table1[[#This Row],[Acceleration]]&gt;0,"Accelerating",IF(Table1[[#This Row],[Acceleration]]&lt;0,"Braking","Constant"))</f>
        <v>Accelerating</v>
      </c>
      <c r="F11">
        <v>72.77</v>
      </c>
      <c r="G11">
        <f>IF(ISBLANK(Table1[[#This Row],[Temperature]]),AVERAGE(Table1[Temperature]),Table1[[#This Row],[Temperature]])</f>
        <v>72.77</v>
      </c>
      <c r="H11">
        <f>IF(ISBLANK(Table1[[#This Row],[Temperature]]),"Unknown",Table1[[#This Row],[Temperature]])</f>
        <v>72.77</v>
      </c>
      <c r="I11" t="s">
        <v>0</v>
      </c>
      <c r="J11" t="str">
        <f>PROPER(Table1[[#This Row],[Engine Status]])</f>
        <v>On</v>
      </c>
      <c r="K11">
        <v>26</v>
      </c>
      <c r="L11" t="str">
        <f>IF(Table1[[#This Row],[Battery Level]]&lt;30,"Low",IF(Table1[[#This Row],[Battery Level]]&lt;60,"Medium","High"))</f>
        <v>Low</v>
      </c>
    </row>
    <row r="12" spans="1:12" x14ac:dyDescent="0.3">
      <c r="A12">
        <v>11</v>
      </c>
      <c r="B12">
        <v>78.5</v>
      </c>
      <c r="C12" t="str">
        <f>IF(Table1[[#This Row],[Speed]]&lt;30,"Low",IF(Table1[[#This Row],[Speed]]&lt;60,"Medium","Fast"))</f>
        <v>Fast</v>
      </c>
      <c r="D12">
        <v>-4.37</v>
      </c>
      <c r="E12" t="str">
        <f>IF(Table1[[#This Row],[Acceleration]]&gt;0,"Accelerating",IF(Table1[[#This Row],[Acceleration]]&lt;0,"Braking","Constant"))</f>
        <v>Braking</v>
      </c>
      <c r="F12">
        <v>60.45</v>
      </c>
      <c r="G12">
        <f>IF(ISBLANK(Table1[[#This Row],[Temperature]]),AVERAGE(Table1[Temperature]),Table1[[#This Row],[Temperature]])</f>
        <v>60.45</v>
      </c>
      <c r="H12">
        <f>IF(ISBLANK(Table1[[#This Row],[Temperature]]),"Unknown",Table1[[#This Row],[Temperature]])</f>
        <v>60.45</v>
      </c>
      <c r="I12" t="s">
        <v>0</v>
      </c>
      <c r="J12" t="str">
        <f>PROPER(Table1[[#This Row],[Engine Status]])</f>
        <v>On</v>
      </c>
      <c r="K12">
        <v>87</v>
      </c>
      <c r="L12" t="str">
        <f>IF(Table1[[#This Row],[Battery Level]]&lt;30,"Low",IF(Table1[[#This Row],[Battery Level]]&lt;60,"Medium","High"))</f>
        <v>High</v>
      </c>
    </row>
    <row r="13" spans="1:12" x14ac:dyDescent="0.3">
      <c r="A13">
        <v>12</v>
      </c>
      <c r="B13">
        <v>106.7</v>
      </c>
      <c r="C13" t="str">
        <f>IF(Table1[[#This Row],[Speed]]&lt;30,"Low",IF(Table1[[#This Row],[Speed]]&lt;60,"Medium","Fast"))</f>
        <v>Fast</v>
      </c>
      <c r="D13">
        <v>-2.89</v>
      </c>
      <c r="E13" t="str">
        <f>IF(Table1[[#This Row],[Acceleration]]&gt;0,"Accelerating",IF(Table1[[#This Row],[Acceleration]]&lt;0,"Braking","Constant"))</f>
        <v>Braking</v>
      </c>
      <c r="F13">
        <v>83.31</v>
      </c>
      <c r="G13">
        <f>IF(ISBLANK(Table1[[#This Row],[Temperature]]),AVERAGE(Table1[Temperature]),Table1[[#This Row],[Temperature]])</f>
        <v>83.31</v>
      </c>
      <c r="H13">
        <f>IF(ISBLANK(Table1[[#This Row],[Temperature]]),"Unknown",Table1[[#This Row],[Temperature]])</f>
        <v>83.31</v>
      </c>
      <c r="I13" t="s">
        <v>1</v>
      </c>
      <c r="J13" t="str">
        <f>PROPER(Table1[[#This Row],[Engine Status]])</f>
        <v>Off</v>
      </c>
      <c r="K13">
        <v>38</v>
      </c>
      <c r="L13" t="str">
        <f>IF(Table1[[#This Row],[Battery Level]]&lt;30,"Low",IF(Table1[[#This Row],[Battery Level]]&lt;60,"Medium","High"))</f>
        <v>Medium</v>
      </c>
    </row>
    <row r="14" spans="1:12" x14ac:dyDescent="0.3">
      <c r="A14">
        <v>13</v>
      </c>
      <c r="B14">
        <v>69.459999999999994</v>
      </c>
      <c r="C14" t="str">
        <f>IF(Table1[[#This Row],[Speed]]&lt;30,"Low",IF(Table1[[#This Row],[Speed]]&lt;60,"Medium","Fast"))</f>
        <v>Fast</v>
      </c>
      <c r="D14">
        <v>3.09</v>
      </c>
      <c r="E14" t="str">
        <f>IF(Table1[[#This Row],[Acceleration]]&gt;0,"Accelerating",IF(Table1[[#This Row],[Acceleration]]&lt;0,"Braking","Constant"))</f>
        <v>Accelerating</v>
      </c>
      <c r="F14">
        <v>77.22</v>
      </c>
      <c r="G14">
        <f>IF(ISBLANK(Table1[[#This Row],[Temperature]]),AVERAGE(Table1[Temperature]),Table1[[#This Row],[Temperature]])</f>
        <v>77.22</v>
      </c>
      <c r="H14">
        <f>IF(ISBLANK(Table1[[#This Row],[Temperature]]),"Unknown",Table1[[#This Row],[Temperature]])</f>
        <v>77.22</v>
      </c>
      <c r="I14" t="s">
        <v>1</v>
      </c>
      <c r="J14" t="str">
        <f>PROPER(Table1[[#This Row],[Engine Status]])</f>
        <v>Off</v>
      </c>
      <c r="K14">
        <v>50</v>
      </c>
      <c r="L14" t="str">
        <f>IF(Table1[[#This Row],[Battery Level]]&lt;30,"Low",IF(Table1[[#This Row],[Battery Level]]&lt;60,"Medium","High"))</f>
        <v>Medium</v>
      </c>
    </row>
    <row r="15" spans="1:12" x14ac:dyDescent="0.3">
      <c r="A15">
        <v>14</v>
      </c>
      <c r="B15">
        <v>75.89</v>
      </c>
      <c r="C15" t="str">
        <f>IF(Table1[[#This Row],[Speed]]&lt;30,"Low",IF(Table1[[#This Row],[Speed]]&lt;60,"Medium","Fast"))</f>
        <v>Fast</v>
      </c>
      <c r="D15">
        <v>-3.53</v>
      </c>
      <c r="E15" t="str">
        <f>IF(Table1[[#This Row],[Acceleration]]&gt;0,"Accelerating",IF(Table1[[#This Row],[Acceleration]]&lt;0,"Braking","Constant"))</f>
        <v>Braking</v>
      </c>
      <c r="F15">
        <v>72.989999999999995</v>
      </c>
      <c r="G15">
        <f>IF(ISBLANK(Table1[[#This Row],[Temperature]]),AVERAGE(Table1[Temperature]),Table1[[#This Row],[Temperature]])</f>
        <v>72.989999999999995</v>
      </c>
      <c r="H15">
        <f>IF(ISBLANK(Table1[[#This Row],[Temperature]]),"Unknown",Table1[[#This Row],[Temperature]])</f>
        <v>72.989999999999995</v>
      </c>
      <c r="I15" t="s">
        <v>0</v>
      </c>
      <c r="J15" t="str">
        <f>PROPER(Table1[[#This Row],[Engine Status]])</f>
        <v>On</v>
      </c>
      <c r="K15">
        <v>54</v>
      </c>
      <c r="L15" t="str">
        <f>IF(Table1[[#This Row],[Battery Level]]&lt;30,"Low",IF(Table1[[#This Row],[Battery Level]]&lt;60,"Medium","High"))</f>
        <v>Medium</v>
      </c>
    </row>
    <row r="16" spans="1:12" x14ac:dyDescent="0.3">
      <c r="A16">
        <v>15</v>
      </c>
      <c r="B16">
        <v>18.78</v>
      </c>
      <c r="C16" t="str">
        <f>IF(Table1[[#This Row],[Speed]]&lt;30,"Low",IF(Table1[[#This Row],[Speed]]&lt;60,"Medium","Fast"))</f>
        <v>Low</v>
      </c>
      <c r="D16">
        <v>-1.57</v>
      </c>
      <c r="E16" t="str">
        <f>IF(Table1[[#This Row],[Acceleration]]&gt;0,"Accelerating",IF(Table1[[#This Row],[Acceleration]]&lt;0,"Braking","Constant"))</f>
        <v>Braking</v>
      </c>
      <c r="G16">
        <f>IF(ISBLANK(Table1[[#This Row],[Temperature]]),AVERAGE(Table1[Temperature]),Table1[[#This Row],[Temperature]])</f>
        <v>56.31555555555552</v>
      </c>
      <c r="H16" t="str">
        <f>IF(ISBLANK(Table1[[#This Row],[Temperature]]),"Unknown",Table1[[#This Row],[Temperature]])</f>
        <v>Unknown</v>
      </c>
      <c r="I16" t="s">
        <v>1</v>
      </c>
      <c r="J16" t="str">
        <f>PROPER(Table1[[#This Row],[Engine Status]])</f>
        <v>Off</v>
      </c>
      <c r="K16">
        <v>76</v>
      </c>
      <c r="L16" t="str">
        <f>IF(Table1[[#This Row],[Battery Level]]&lt;30,"Low",IF(Table1[[#This Row],[Battery Level]]&lt;60,"Medium","High"))</f>
        <v>High</v>
      </c>
    </row>
    <row r="17" spans="1:12" x14ac:dyDescent="0.3">
      <c r="A17">
        <v>16</v>
      </c>
      <c r="B17">
        <v>56.87</v>
      </c>
      <c r="C17" t="str">
        <f>IF(Table1[[#This Row],[Speed]]&lt;30,"Low",IF(Table1[[#This Row],[Speed]]&lt;60,"Medium","Fast"))</f>
        <v>Medium</v>
      </c>
      <c r="D17">
        <v>3.65</v>
      </c>
      <c r="E17" t="str">
        <f>IF(Table1[[#This Row],[Acceleration]]&gt;0,"Accelerating",IF(Table1[[#This Row],[Acceleration]]&lt;0,"Braking","Constant"))</f>
        <v>Accelerating</v>
      </c>
      <c r="F17">
        <v>20.48</v>
      </c>
      <c r="G17">
        <f>IF(ISBLANK(Table1[[#This Row],[Temperature]]),AVERAGE(Table1[Temperature]),Table1[[#This Row],[Temperature]])</f>
        <v>20.48</v>
      </c>
      <c r="H17">
        <f>IF(ISBLANK(Table1[[#This Row],[Temperature]]),"Unknown",Table1[[#This Row],[Temperature]])</f>
        <v>20.48</v>
      </c>
      <c r="I17" t="s">
        <v>0</v>
      </c>
      <c r="J17" t="str">
        <f>PROPER(Table1[[#This Row],[Engine Status]])</f>
        <v>On</v>
      </c>
      <c r="K17">
        <v>80</v>
      </c>
      <c r="L17" t="str">
        <f>IF(Table1[[#This Row],[Battery Level]]&lt;30,"Low",IF(Table1[[#This Row],[Battery Level]]&lt;60,"Medium","High"))</f>
        <v>High</v>
      </c>
    </row>
    <row r="18" spans="1:12" x14ac:dyDescent="0.3">
      <c r="A18">
        <v>17</v>
      </c>
      <c r="B18">
        <v>85.97</v>
      </c>
      <c r="C18" t="str">
        <f>IF(Table1[[#This Row],[Speed]]&lt;30,"Low",IF(Table1[[#This Row],[Speed]]&lt;60,"Medium","Fast"))</f>
        <v>Fast</v>
      </c>
      <c r="D18">
        <v>-3.45</v>
      </c>
      <c r="E18" t="str">
        <f>IF(Table1[[#This Row],[Acceleration]]&gt;0,"Accelerating",IF(Table1[[#This Row],[Acceleration]]&lt;0,"Braking","Constant"))</f>
        <v>Braking</v>
      </c>
      <c r="F18">
        <v>34.869999999999997</v>
      </c>
      <c r="G18">
        <f>IF(ISBLANK(Table1[[#This Row],[Temperature]]),AVERAGE(Table1[Temperature]),Table1[[#This Row],[Temperature]])</f>
        <v>34.869999999999997</v>
      </c>
      <c r="H18">
        <f>IF(ISBLANK(Table1[[#This Row],[Temperature]]),"Unknown",Table1[[#This Row],[Temperature]])</f>
        <v>34.869999999999997</v>
      </c>
      <c r="I18" t="s">
        <v>1</v>
      </c>
      <c r="J18" t="str">
        <f>PROPER(Table1[[#This Row],[Engine Status]])</f>
        <v>Off</v>
      </c>
      <c r="K18">
        <v>50</v>
      </c>
      <c r="L18" t="str">
        <f>IF(Table1[[#This Row],[Battery Level]]&lt;30,"Low",IF(Table1[[#This Row],[Battery Level]]&lt;60,"Medium","High"))</f>
        <v>Medium</v>
      </c>
    </row>
    <row r="19" spans="1:12" x14ac:dyDescent="0.3">
      <c r="A19">
        <v>18</v>
      </c>
      <c r="B19">
        <v>32.51</v>
      </c>
      <c r="C19" t="str">
        <f>IF(Table1[[#This Row],[Speed]]&lt;30,"Low",IF(Table1[[#This Row],[Speed]]&lt;60,"Medium","Fast"))</f>
        <v>Medium</v>
      </c>
      <c r="D19">
        <v>-4.17</v>
      </c>
      <c r="E19" t="str">
        <f>IF(Table1[[#This Row],[Acceleration]]&gt;0,"Accelerating",IF(Table1[[#This Row],[Acceleration]]&lt;0,"Braking","Constant"))</f>
        <v>Braking</v>
      </c>
      <c r="F19">
        <v>66.45</v>
      </c>
      <c r="G19">
        <f>IF(ISBLANK(Table1[[#This Row],[Temperature]]),AVERAGE(Table1[Temperature]),Table1[[#This Row],[Temperature]])</f>
        <v>66.45</v>
      </c>
      <c r="H19">
        <f>IF(ISBLANK(Table1[[#This Row],[Temperature]]),"Unknown",Table1[[#This Row],[Temperature]])</f>
        <v>66.45</v>
      </c>
      <c r="I19" t="s">
        <v>1</v>
      </c>
      <c r="J19" t="str">
        <f>PROPER(Table1[[#This Row],[Engine Status]])</f>
        <v>Off</v>
      </c>
      <c r="K19">
        <v>72</v>
      </c>
      <c r="L19" t="str">
        <f>IF(Table1[[#This Row],[Battery Level]]&lt;30,"Low",IF(Table1[[#This Row],[Battery Level]]&lt;60,"Medium","High"))</f>
        <v>High</v>
      </c>
    </row>
    <row r="20" spans="1:12" x14ac:dyDescent="0.3">
      <c r="A20">
        <v>19</v>
      </c>
      <c r="B20">
        <v>24.27</v>
      </c>
      <c r="C20" t="str">
        <f>IF(Table1[[#This Row],[Speed]]&lt;30,"Low",IF(Table1[[#This Row],[Speed]]&lt;60,"Medium","Fast"))</f>
        <v>Low</v>
      </c>
      <c r="D20">
        <v>-0.15</v>
      </c>
      <c r="E20" t="str">
        <f>IF(Table1[[#This Row],[Acceleration]]&gt;0,"Accelerating",IF(Table1[[#This Row],[Acceleration]]&lt;0,"Braking","Constant"))</f>
        <v>Braking</v>
      </c>
      <c r="F20">
        <v>48.78</v>
      </c>
      <c r="G20">
        <f>IF(ISBLANK(Table1[[#This Row],[Temperature]]),AVERAGE(Table1[Temperature]),Table1[[#This Row],[Temperature]])</f>
        <v>48.78</v>
      </c>
      <c r="H20">
        <f>IF(ISBLANK(Table1[[#This Row],[Temperature]]),"Unknown",Table1[[#This Row],[Temperature]])</f>
        <v>48.78</v>
      </c>
      <c r="I20" t="s">
        <v>0</v>
      </c>
      <c r="J20" t="str">
        <f>PROPER(Table1[[#This Row],[Engine Status]])</f>
        <v>On</v>
      </c>
      <c r="K20">
        <v>51</v>
      </c>
      <c r="L20" t="str">
        <f>IF(Table1[[#This Row],[Battery Level]]&lt;30,"Low",IF(Table1[[#This Row],[Battery Level]]&lt;60,"Medium","High"))</f>
        <v>Medium</v>
      </c>
    </row>
    <row r="21" spans="1:12" x14ac:dyDescent="0.3">
      <c r="A21">
        <v>20</v>
      </c>
      <c r="B21">
        <v>37.659999999999997</v>
      </c>
      <c r="C21" t="str">
        <f>IF(Table1[[#This Row],[Speed]]&lt;30,"Low",IF(Table1[[#This Row],[Speed]]&lt;60,"Medium","Fast"))</f>
        <v>Medium</v>
      </c>
      <c r="D21">
        <v>-1.98</v>
      </c>
      <c r="E21" t="str">
        <f>IF(Table1[[#This Row],[Acceleration]]&gt;0,"Accelerating",IF(Table1[[#This Row],[Acceleration]]&lt;0,"Braking","Constant"))</f>
        <v>Braking</v>
      </c>
      <c r="F21">
        <v>48.17</v>
      </c>
      <c r="G21">
        <f>IF(ISBLANK(Table1[[#This Row],[Temperature]]),AVERAGE(Table1[Temperature]),Table1[[#This Row],[Temperature]])</f>
        <v>48.17</v>
      </c>
      <c r="H21">
        <f>IF(ISBLANK(Table1[[#This Row],[Temperature]]),"Unknown",Table1[[#This Row],[Temperature]])</f>
        <v>48.17</v>
      </c>
      <c r="I21" t="s">
        <v>1</v>
      </c>
      <c r="J21" t="str">
        <f>PROPER(Table1[[#This Row],[Engine Status]])</f>
        <v>Off</v>
      </c>
      <c r="K21">
        <v>85</v>
      </c>
      <c r="L21" t="str">
        <f>IF(Table1[[#This Row],[Battery Level]]&lt;30,"Low",IF(Table1[[#This Row],[Battery Level]]&lt;60,"Medium","High"))</f>
        <v>High</v>
      </c>
    </row>
    <row r="22" spans="1:12" x14ac:dyDescent="0.3">
      <c r="A22">
        <v>21</v>
      </c>
      <c r="B22">
        <v>28.98</v>
      </c>
      <c r="C22" t="str">
        <f>IF(Table1[[#This Row],[Speed]]&lt;30,"Low",IF(Table1[[#This Row],[Speed]]&lt;60,"Medium","Fast"))</f>
        <v>Low</v>
      </c>
      <c r="D22">
        <v>0.63</v>
      </c>
      <c r="E22" t="str">
        <f>IF(Table1[[#This Row],[Acceleration]]&gt;0,"Accelerating",IF(Table1[[#This Row],[Acceleration]]&lt;0,"Braking","Constant"))</f>
        <v>Accelerating</v>
      </c>
      <c r="F22">
        <v>81.92</v>
      </c>
      <c r="G22">
        <f>IF(ISBLANK(Table1[[#This Row],[Temperature]]),AVERAGE(Table1[Temperature]),Table1[[#This Row],[Temperature]])</f>
        <v>81.92</v>
      </c>
      <c r="H22">
        <f>IF(ISBLANK(Table1[[#This Row],[Temperature]]),"Unknown",Table1[[#This Row],[Temperature]])</f>
        <v>81.92</v>
      </c>
      <c r="I22" t="s">
        <v>1</v>
      </c>
      <c r="J22" t="str">
        <f>PROPER(Table1[[#This Row],[Engine Status]])</f>
        <v>Off</v>
      </c>
      <c r="K22">
        <v>78</v>
      </c>
      <c r="L22" t="str">
        <f>IF(Table1[[#This Row],[Battery Level]]&lt;30,"Low",IF(Table1[[#This Row],[Battery Level]]&lt;60,"Medium","High"))</f>
        <v>High</v>
      </c>
    </row>
    <row r="23" spans="1:12" x14ac:dyDescent="0.3">
      <c r="A23">
        <v>22</v>
      </c>
      <c r="B23">
        <v>25.79</v>
      </c>
      <c r="C23" t="str">
        <f>IF(Table1[[#This Row],[Speed]]&lt;30,"Low",IF(Table1[[#This Row],[Speed]]&lt;60,"Medium","Fast"))</f>
        <v>Low</v>
      </c>
      <c r="D23">
        <v>3.04</v>
      </c>
      <c r="E23" t="str">
        <f>IF(Table1[[#This Row],[Acceleration]]&gt;0,"Accelerating",IF(Table1[[#This Row],[Acceleration]]&lt;0,"Braking","Constant"))</f>
        <v>Accelerating</v>
      </c>
      <c r="F23">
        <v>82.69</v>
      </c>
      <c r="G23">
        <f>IF(ISBLANK(Table1[[#This Row],[Temperature]]),AVERAGE(Table1[Temperature]),Table1[[#This Row],[Temperature]])</f>
        <v>82.69</v>
      </c>
      <c r="H23">
        <f>IF(ISBLANK(Table1[[#This Row],[Temperature]]),"Unknown",Table1[[#This Row],[Temperature]])</f>
        <v>82.69</v>
      </c>
      <c r="I23" t="s">
        <v>0</v>
      </c>
      <c r="J23" t="str">
        <f>PROPER(Table1[[#This Row],[Engine Status]])</f>
        <v>On</v>
      </c>
      <c r="K23">
        <v>29</v>
      </c>
      <c r="L23" t="str">
        <f>IF(Table1[[#This Row],[Battery Level]]&lt;30,"Low",IF(Table1[[#This Row],[Battery Level]]&lt;60,"Medium","High"))</f>
        <v>Low</v>
      </c>
    </row>
    <row r="24" spans="1:12" x14ac:dyDescent="0.3">
      <c r="A24">
        <v>23</v>
      </c>
      <c r="B24">
        <v>50.98</v>
      </c>
      <c r="C24" t="str">
        <f>IF(Table1[[#This Row],[Speed]]&lt;30,"Low",IF(Table1[[#This Row],[Speed]]&lt;60,"Medium","Fast"))</f>
        <v>Medium</v>
      </c>
      <c r="D24">
        <v>-3.63</v>
      </c>
      <c r="E24" t="str">
        <f>IF(Table1[[#This Row],[Acceleration]]&gt;0,"Accelerating",IF(Table1[[#This Row],[Acceleration]]&lt;0,"Braking","Constant"))</f>
        <v>Braking</v>
      </c>
      <c r="F24">
        <v>83.64</v>
      </c>
      <c r="G24">
        <f>IF(ISBLANK(Table1[[#This Row],[Temperature]]),AVERAGE(Table1[Temperature]),Table1[[#This Row],[Temperature]])</f>
        <v>83.64</v>
      </c>
      <c r="H24">
        <f>IF(ISBLANK(Table1[[#This Row],[Temperature]]),"Unknown",Table1[[#This Row],[Temperature]])</f>
        <v>83.64</v>
      </c>
      <c r="I24" t="s">
        <v>0</v>
      </c>
      <c r="J24" t="str">
        <f>PROPER(Table1[[#This Row],[Engine Status]])</f>
        <v>On</v>
      </c>
      <c r="K24">
        <v>21</v>
      </c>
      <c r="L24" t="str">
        <f>IF(Table1[[#This Row],[Battery Level]]&lt;30,"Low",IF(Table1[[#This Row],[Battery Level]]&lt;60,"Medium","High"))</f>
        <v>Low</v>
      </c>
    </row>
    <row r="25" spans="1:12" x14ac:dyDescent="0.3">
      <c r="A25">
        <v>24</v>
      </c>
      <c r="B25">
        <v>108.94</v>
      </c>
      <c r="C25" t="str">
        <f>IF(Table1[[#This Row],[Speed]]&lt;30,"Low",IF(Table1[[#This Row],[Speed]]&lt;60,"Medium","Fast"))</f>
        <v>Fast</v>
      </c>
      <c r="D25">
        <v>0.81</v>
      </c>
      <c r="E25" t="str">
        <f>IF(Table1[[#This Row],[Acceleration]]&gt;0,"Accelerating",IF(Table1[[#This Row],[Acceleration]]&lt;0,"Braking","Constant"))</f>
        <v>Accelerating</v>
      </c>
      <c r="F25">
        <v>41.97</v>
      </c>
      <c r="G25">
        <f>IF(ISBLANK(Table1[[#This Row],[Temperature]]),AVERAGE(Table1[Temperature]),Table1[[#This Row],[Temperature]])</f>
        <v>41.97</v>
      </c>
      <c r="H25">
        <f>IF(ISBLANK(Table1[[#This Row],[Temperature]]),"Unknown",Table1[[#This Row],[Temperature]])</f>
        <v>41.97</v>
      </c>
      <c r="I25" t="s">
        <v>1</v>
      </c>
      <c r="J25" t="str">
        <f>PROPER(Table1[[#This Row],[Engine Status]])</f>
        <v>Off</v>
      </c>
      <c r="K25">
        <v>85</v>
      </c>
      <c r="L25" t="str">
        <f>IF(Table1[[#This Row],[Battery Level]]&lt;30,"Low",IF(Table1[[#This Row],[Battery Level]]&lt;60,"Medium","High"))</f>
        <v>High</v>
      </c>
    </row>
    <row r="26" spans="1:12" x14ac:dyDescent="0.3">
      <c r="A26">
        <v>25</v>
      </c>
      <c r="B26">
        <v>60.85</v>
      </c>
      <c r="C26" t="str">
        <f>IF(Table1[[#This Row],[Speed]]&lt;30,"Low",IF(Table1[[#This Row],[Speed]]&lt;60,"Medium","Fast"))</f>
        <v>Fast</v>
      </c>
      <c r="D26">
        <v>0.06</v>
      </c>
      <c r="E26" t="str">
        <f>IF(Table1[[#This Row],[Acceleration]]&gt;0,"Accelerating",IF(Table1[[#This Row],[Acceleration]]&lt;0,"Braking","Constant"))</f>
        <v>Accelerating</v>
      </c>
      <c r="F26">
        <v>68.37</v>
      </c>
      <c r="G26">
        <f>IF(ISBLANK(Table1[[#This Row],[Temperature]]),AVERAGE(Table1[Temperature]),Table1[[#This Row],[Temperature]])</f>
        <v>68.37</v>
      </c>
      <c r="H26">
        <f>IF(ISBLANK(Table1[[#This Row],[Temperature]]),"Unknown",Table1[[#This Row],[Temperature]])</f>
        <v>68.37</v>
      </c>
      <c r="I26" t="s">
        <v>1</v>
      </c>
      <c r="J26" t="str">
        <f>PROPER(Table1[[#This Row],[Engine Status]])</f>
        <v>Off</v>
      </c>
      <c r="K26">
        <v>79</v>
      </c>
      <c r="L26" t="str">
        <f>IF(Table1[[#This Row],[Battery Level]]&lt;30,"Low",IF(Table1[[#This Row],[Battery Level]]&lt;60,"Medium","High"))</f>
        <v>High</v>
      </c>
    </row>
    <row r="27" spans="1:12" x14ac:dyDescent="0.3">
      <c r="A27">
        <v>26</v>
      </c>
      <c r="B27">
        <v>22.55</v>
      </c>
      <c r="C27" t="str">
        <f>IF(Table1[[#This Row],[Speed]]&lt;30,"Low",IF(Table1[[#This Row],[Speed]]&lt;60,"Medium","Fast"))</f>
        <v>Low</v>
      </c>
      <c r="D27">
        <v>-3.56</v>
      </c>
      <c r="E27" t="str">
        <f>IF(Table1[[#This Row],[Acceleration]]&gt;0,"Accelerating",IF(Table1[[#This Row],[Acceleration]]&lt;0,"Braking","Constant"))</f>
        <v>Braking</v>
      </c>
      <c r="F27">
        <v>39.01</v>
      </c>
      <c r="G27">
        <f>IF(ISBLANK(Table1[[#This Row],[Temperature]]),AVERAGE(Table1[Temperature]),Table1[[#This Row],[Temperature]])</f>
        <v>39.01</v>
      </c>
      <c r="H27">
        <f>IF(ISBLANK(Table1[[#This Row],[Temperature]]),"Unknown",Table1[[#This Row],[Temperature]])</f>
        <v>39.01</v>
      </c>
      <c r="I27" t="s">
        <v>1</v>
      </c>
      <c r="J27" t="str">
        <f>PROPER(Table1[[#This Row],[Engine Status]])</f>
        <v>Off</v>
      </c>
      <c r="K27">
        <v>36</v>
      </c>
      <c r="L27" t="str">
        <f>IF(Table1[[#This Row],[Battery Level]]&lt;30,"Low",IF(Table1[[#This Row],[Battery Level]]&lt;60,"Medium","High"))</f>
        <v>Medium</v>
      </c>
    </row>
    <row r="28" spans="1:12" x14ac:dyDescent="0.3">
      <c r="A28">
        <v>27</v>
      </c>
      <c r="B28">
        <v>9.24</v>
      </c>
      <c r="C28" t="str">
        <f>IF(Table1[[#This Row],[Speed]]&lt;30,"Low",IF(Table1[[#This Row],[Speed]]&lt;60,"Medium","Fast"))</f>
        <v>Low</v>
      </c>
      <c r="D28">
        <v>1.24</v>
      </c>
      <c r="E28" t="str">
        <f>IF(Table1[[#This Row],[Acceleration]]&gt;0,"Accelerating",IF(Table1[[#This Row],[Acceleration]]&lt;0,"Braking","Constant"))</f>
        <v>Accelerating</v>
      </c>
      <c r="F28">
        <v>33.340000000000003</v>
      </c>
      <c r="G28">
        <f>IF(ISBLANK(Table1[[#This Row],[Temperature]]),AVERAGE(Table1[Temperature]),Table1[[#This Row],[Temperature]])</f>
        <v>33.340000000000003</v>
      </c>
      <c r="H28">
        <f>IF(ISBLANK(Table1[[#This Row],[Temperature]]),"Unknown",Table1[[#This Row],[Temperature]])</f>
        <v>33.340000000000003</v>
      </c>
      <c r="I28" t="s">
        <v>0</v>
      </c>
      <c r="J28" t="str">
        <f>PROPER(Table1[[#This Row],[Engine Status]])</f>
        <v>On</v>
      </c>
      <c r="K28">
        <v>35</v>
      </c>
      <c r="L28" t="str">
        <f>IF(Table1[[#This Row],[Battery Level]]&lt;30,"Low",IF(Table1[[#This Row],[Battery Level]]&lt;60,"Medium","High"))</f>
        <v>Medium</v>
      </c>
    </row>
    <row r="29" spans="1:12" x14ac:dyDescent="0.3">
      <c r="A29">
        <v>28</v>
      </c>
      <c r="B29">
        <v>83.54</v>
      </c>
      <c r="C29" t="str">
        <f>IF(Table1[[#This Row],[Speed]]&lt;30,"Low",IF(Table1[[#This Row],[Speed]]&lt;60,"Medium","Fast"))</f>
        <v>Fast</v>
      </c>
      <c r="D29">
        <v>-2.2599999999999998</v>
      </c>
      <c r="E29" t="str">
        <f>IF(Table1[[#This Row],[Acceleration]]&gt;0,"Accelerating",IF(Table1[[#This Row],[Acceleration]]&lt;0,"Braking","Constant"))</f>
        <v>Braking</v>
      </c>
      <c r="F29">
        <v>32.92</v>
      </c>
      <c r="G29">
        <f>IF(ISBLANK(Table1[[#This Row],[Temperature]]),AVERAGE(Table1[Temperature]),Table1[[#This Row],[Temperature]])</f>
        <v>32.92</v>
      </c>
      <c r="H29">
        <f>IF(ISBLANK(Table1[[#This Row],[Temperature]]),"Unknown",Table1[[#This Row],[Temperature]])</f>
        <v>32.92</v>
      </c>
      <c r="I29" t="s">
        <v>1</v>
      </c>
      <c r="J29" t="str">
        <f>PROPER(Table1[[#This Row],[Engine Status]])</f>
        <v>Off</v>
      </c>
      <c r="K29">
        <v>35</v>
      </c>
      <c r="L29" t="str">
        <f>IF(Table1[[#This Row],[Battery Level]]&lt;30,"Low",IF(Table1[[#This Row],[Battery Level]]&lt;60,"Medium","High"))</f>
        <v>Medium</v>
      </c>
    </row>
    <row r="30" spans="1:12" x14ac:dyDescent="0.3">
      <c r="A30">
        <v>29</v>
      </c>
      <c r="B30">
        <v>45.94</v>
      </c>
      <c r="C30" t="str">
        <f>IF(Table1[[#This Row],[Speed]]&lt;30,"Low",IF(Table1[[#This Row],[Speed]]&lt;60,"Medium","Fast"))</f>
        <v>Medium</v>
      </c>
      <c r="D30">
        <v>-0.12</v>
      </c>
      <c r="E30" t="str">
        <f>IF(Table1[[#This Row],[Acceleration]]&gt;0,"Accelerating",IF(Table1[[#This Row],[Acceleration]]&lt;0,"Braking","Constant"))</f>
        <v>Braking</v>
      </c>
      <c r="F30">
        <v>43.95</v>
      </c>
      <c r="G30">
        <f>IF(ISBLANK(Table1[[#This Row],[Temperature]]),AVERAGE(Table1[Temperature]),Table1[[#This Row],[Temperature]])</f>
        <v>43.95</v>
      </c>
      <c r="H30">
        <f>IF(ISBLANK(Table1[[#This Row],[Temperature]]),"Unknown",Table1[[#This Row],[Temperature]])</f>
        <v>43.95</v>
      </c>
      <c r="I30" t="s">
        <v>1</v>
      </c>
      <c r="J30" t="str">
        <f>PROPER(Table1[[#This Row],[Engine Status]])</f>
        <v>Off</v>
      </c>
      <c r="K30">
        <v>65</v>
      </c>
      <c r="L30" t="str">
        <f>IF(Table1[[#This Row],[Battery Level]]&lt;30,"Low",IF(Table1[[#This Row],[Battery Level]]&lt;60,"Medium","High"))</f>
        <v>High</v>
      </c>
    </row>
    <row r="31" spans="1:12" x14ac:dyDescent="0.3">
      <c r="A31">
        <v>30</v>
      </c>
      <c r="B31">
        <v>98.62</v>
      </c>
      <c r="C31" t="str">
        <f>IF(Table1[[#This Row],[Speed]]&lt;30,"Low",IF(Table1[[#This Row],[Speed]]&lt;60,"Medium","Fast"))</f>
        <v>Fast</v>
      </c>
      <c r="D31">
        <v>-4.18</v>
      </c>
      <c r="E31" t="str">
        <f>IF(Table1[[#This Row],[Acceleration]]&gt;0,"Accelerating",IF(Table1[[#This Row],[Acceleration]]&lt;0,"Braking","Constant"))</f>
        <v>Braking</v>
      </c>
      <c r="F31">
        <v>50.1</v>
      </c>
      <c r="G31">
        <f>IF(ISBLANK(Table1[[#This Row],[Temperature]]),AVERAGE(Table1[Temperature]),Table1[[#This Row],[Temperature]])</f>
        <v>50.1</v>
      </c>
      <c r="H31">
        <f>IF(ISBLANK(Table1[[#This Row],[Temperature]]),"Unknown",Table1[[#This Row],[Temperature]])</f>
        <v>50.1</v>
      </c>
      <c r="I31" t="s">
        <v>1</v>
      </c>
      <c r="J31" t="str">
        <f>PROPER(Table1[[#This Row],[Engine Status]])</f>
        <v>Off</v>
      </c>
      <c r="K31">
        <v>58</v>
      </c>
      <c r="L31" t="str">
        <f>IF(Table1[[#This Row],[Battery Level]]&lt;30,"Low",IF(Table1[[#This Row],[Battery Level]]&lt;60,"Medium","High"))</f>
        <v>Medium</v>
      </c>
    </row>
    <row r="32" spans="1:12" x14ac:dyDescent="0.3">
      <c r="A32">
        <v>31</v>
      </c>
      <c r="B32">
        <v>79.14</v>
      </c>
      <c r="C32" t="str">
        <f>IF(Table1[[#This Row],[Speed]]&lt;30,"Low",IF(Table1[[#This Row],[Speed]]&lt;60,"Medium","Fast"))</f>
        <v>Fast</v>
      </c>
      <c r="D32">
        <v>-0.4</v>
      </c>
      <c r="E32" t="str">
        <f>IF(Table1[[#This Row],[Acceleration]]&gt;0,"Accelerating",IF(Table1[[#This Row],[Acceleration]]&lt;0,"Braking","Constant"))</f>
        <v>Braking</v>
      </c>
      <c r="F32">
        <v>78.17</v>
      </c>
      <c r="G32">
        <f>IF(ISBLANK(Table1[[#This Row],[Temperature]]),AVERAGE(Table1[Temperature]),Table1[[#This Row],[Temperature]])</f>
        <v>78.17</v>
      </c>
      <c r="H32">
        <f>IF(ISBLANK(Table1[[#This Row],[Temperature]]),"Unknown",Table1[[#This Row],[Temperature]])</f>
        <v>78.17</v>
      </c>
      <c r="I32" t="s">
        <v>0</v>
      </c>
      <c r="J32" t="str">
        <f>PROPER(Table1[[#This Row],[Engine Status]])</f>
        <v>On</v>
      </c>
      <c r="K32">
        <v>50</v>
      </c>
      <c r="L32" t="str">
        <f>IF(Table1[[#This Row],[Battery Level]]&lt;30,"Low",IF(Table1[[#This Row],[Battery Level]]&lt;60,"Medium","High"))</f>
        <v>Medium</v>
      </c>
    </row>
    <row r="33" spans="1:12" x14ac:dyDescent="0.3">
      <c r="A33">
        <v>32</v>
      </c>
      <c r="B33">
        <v>95.55</v>
      </c>
      <c r="C33" t="str">
        <f>IF(Table1[[#This Row],[Speed]]&lt;30,"Low",IF(Table1[[#This Row],[Speed]]&lt;60,"Medium","Fast"))</f>
        <v>Fast</v>
      </c>
      <c r="D33">
        <v>-1.94</v>
      </c>
      <c r="E33" t="str">
        <f>IF(Table1[[#This Row],[Acceleration]]&gt;0,"Accelerating",IF(Table1[[#This Row],[Acceleration]]&lt;0,"Braking","Constant"))</f>
        <v>Braking</v>
      </c>
      <c r="F33">
        <v>28.39</v>
      </c>
      <c r="G33">
        <f>IF(ISBLANK(Table1[[#This Row],[Temperature]]),AVERAGE(Table1[Temperature]),Table1[[#This Row],[Temperature]])</f>
        <v>28.39</v>
      </c>
      <c r="H33">
        <f>IF(ISBLANK(Table1[[#This Row],[Temperature]]),"Unknown",Table1[[#This Row],[Temperature]])</f>
        <v>28.39</v>
      </c>
      <c r="I33" t="s">
        <v>0</v>
      </c>
      <c r="J33" t="str">
        <f>PROPER(Table1[[#This Row],[Engine Status]])</f>
        <v>On</v>
      </c>
      <c r="K33">
        <v>20</v>
      </c>
      <c r="L33" t="str">
        <f>IF(Table1[[#This Row],[Battery Level]]&lt;30,"Low",IF(Table1[[#This Row],[Battery Level]]&lt;60,"Medium","High"))</f>
        <v>Low</v>
      </c>
    </row>
    <row r="34" spans="1:12" x14ac:dyDescent="0.3">
      <c r="A34">
        <v>33</v>
      </c>
      <c r="B34">
        <v>32.630000000000003</v>
      </c>
      <c r="C34" t="str">
        <f>IF(Table1[[#This Row],[Speed]]&lt;30,"Low",IF(Table1[[#This Row],[Speed]]&lt;60,"Medium","Fast"))</f>
        <v>Medium</v>
      </c>
      <c r="D34">
        <v>3.22</v>
      </c>
      <c r="E34" t="str">
        <f>IF(Table1[[#This Row],[Acceleration]]&gt;0,"Accelerating",IF(Table1[[#This Row],[Acceleration]]&lt;0,"Braking","Constant"))</f>
        <v>Accelerating</v>
      </c>
      <c r="F34">
        <v>71.44</v>
      </c>
      <c r="G34">
        <f>IF(ISBLANK(Table1[[#This Row],[Temperature]]),AVERAGE(Table1[Temperature]),Table1[[#This Row],[Temperature]])</f>
        <v>71.44</v>
      </c>
      <c r="H34">
        <f>IF(ISBLANK(Table1[[#This Row],[Temperature]]),"Unknown",Table1[[#This Row],[Temperature]])</f>
        <v>71.44</v>
      </c>
      <c r="I34" t="s">
        <v>0</v>
      </c>
      <c r="J34" t="str">
        <f>PROPER(Table1[[#This Row],[Engine Status]])</f>
        <v>On</v>
      </c>
      <c r="K34">
        <v>30</v>
      </c>
      <c r="L34" t="str">
        <f>IF(Table1[[#This Row],[Battery Level]]&lt;30,"Low",IF(Table1[[#This Row],[Battery Level]]&lt;60,"Medium","High"))</f>
        <v>Medium</v>
      </c>
    </row>
    <row r="35" spans="1:12" x14ac:dyDescent="0.3">
      <c r="A35">
        <v>34</v>
      </c>
      <c r="B35">
        <v>83.08</v>
      </c>
      <c r="C35" t="str">
        <f>IF(Table1[[#This Row],[Speed]]&lt;30,"Low",IF(Table1[[#This Row],[Speed]]&lt;60,"Medium","Fast"))</f>
        <v>Fast</v>
      </c>
      <c r="D35">
        <v>-4.43</v>
      </c>
      <c r="E35" t="str">
        <f>IF(Table1[[#This Row],[Acceleration]]&gt;0,"Accelerating",IF(Table1[[#This Row],[Acceleration]]&lt;0,"Braking","Constant"))</f>
        <v>Braking</v>
      </c>
      <c r="F35">
        <v>57.2</v>
      </c>
      <c r="G35">
        <f>IF(ISBLANK(Table1[[#This Row],[Temperature]]),AVERAGE(Table1[Temperature]),Table1[[#This Row],[Temperature]])</f>
        <v>57.2</v>
      </c>
      <c r="H35">
        <f>IF(ISBLANK(Table1[[#This Row],[Temperature]]),"Unknown",Table1[[#This Row],[Temperature]])</f>
        <v>57.2</v>
      </c>
      <c r="I35" t="s">
        <v>0</v>
      </c>
      <c r="J35" t="str">
        <f>PROPER(Table1[[#This Row],[Engine Status]])</f>
        <v>On</v>
      </c>
      <c r="K35">
        <v>23</v>
      </c>
      <c r="L35" t="str">
        <f>IF(Table1[[#This Row],[Battery Level]]&lt;30,"Low",IF(Table1[[#This Row],[Battery Level]]&lt;60,"Medium","High"))</f>
        <v>Low</v>
      </c>
    </row>
    <row r="36" spans="1:12" x14ac:dyDescent="0.3">
      <c r="A36">
        <v>35</v>
      </c>
      <c r="B36">
        <v>31.69</v>
      </c>
      <c r="C36" t="str">
        <f>IF(Table1[[#This Row],[Speed]]&lt;30,"Low",IF(Table1[[#This Row],[Speed]]&lt;60,"Medium","Fast"))</f>
        <v>Medium</v>
      </c>
      <c r="D36">
        <v>-0.81</v>
      </c>
      <c r="E36" t="str">
        <f>IF(Table1[[#This Row],[Acceleration]]&gt;0,"Accelerating",IF(Table1[[#This Row],[Acceleration]]&lt;0,"Braking","Constant"))</f>
        <v>Braking</v>
      </c>
      <c r="F36">
        <v>40.159999999999997</v>
      </c>
      <c r="G36">
        <f>IF(ISBLANK(Table1[[#This Row],[Temperature]]),AVERAGE(Table1[Temperature]),Table1[[#This Row],[Temperature]])</f>
        <v>40.159999999999997</v>
      </c>
      <c r="H36">
        <f>IF(ISBLANK(Table1[[#This Row],[Temperature]]),"Unknown",Table1[[#This Row],[Temperature]])</f>
        <v>40.159999999999997</v>
      </c>
      <c r="I36" t="s">
        <v>1</v>
      </c>
      <c r="J36" t="str">
        <f>PROPER(Table1[[#This Row],[Engine Status]])</f>
        <v>Off</v>
      </c>
      <c r="K36">
        <v>90</v>
      </c>
      <c r="L36" t="str">
        <f>IF(Table1[[#This Row],[Battery Level]]&lt;30,"Low",IF(Table1[[#This Row],[Battery Level]]&lt;60,"Medium","High"))</f>
        <v>High</v>
      </c>
    </row>
    <row r="37" spans="1:12" x14ac:dyDescent="0.3">
      <c r="A37">
        <v>36</v>
      </c>
      <c r="B37">
        <v>112.69</v>
      </c>
      <c r="C37" t="str">
        <f>IF(Table1[[#This Row],[Speed]]&lt;30,"Low",IF(Table1[[#This Row],[Speed]]&lt;60,"Medium","Fast"))</f>
        <v>Fast</v>
      </c>
      <c r="D37">
        <v>-0.42</v>
      </c>
      <c r="E37" t="str">
        <f>IF(Table1[[#This Row],[Acceleration]]&gt;0,"Accelerating",IF(Table1[[#This Row],[Acceleration]]&lt;0,"Braking","Constant"))</f>
        <v>Braking</v>
      </c>
      <c r="F37">
        <v>54.5</v>
      </c>
      <c r="G37">
        <f>IF(ISBLANK(Table1[[#This Row],[Temperature]]),AVERAGE(Table1[Temperature]),Table1[[#This Row],[Temperature]])</f>
        <v>54.5</v>
      </c>
      <c r="H37">
        <f>IF(ISBLANK(Table1[[#This Row],[Temperature]]),"Unknown",Table1[[#This Row],[Temperature]])</f>
        <v>54.5</v>
      </c>
      <c r="I37" t="s">
        <v>0</v>
      </c>
      <c r="J37" t="str">
        <f>PROPER(Table1[[#This Row],[Engine Status]])</f>
        <v>On</v>
      </c>
      <c r="K37">
        <v>45</v>
      </c>
      <c r="L37" t="str">
        <f>IF(Table1[[#This Row],[Battery Level]]&lt;30,"Low",IF(Table1[[#This Row],[Battery Level]]&lt;60,"Medium","High"))</f>
        <v>Medium</v>
      </c>
    </row>
    <row r="38" spans="1:12" x14ac:dyDescent="0.3">
      <c r="A38">
        <v>37</v>
      </c>
      <c r="B38">
        <v>76.36</v>
      </c>
      <c r="C38" t="str">
        <f>IF(Table1[[#This Row],[Speed]]&lt;30,"Low",IF(Table1[[#This Row],[Speed]]&lt;60,"Medium","Fast"))</f>
        <v>Fast</v>
      </c>
      <c r="D38">
        <v>2.25</v>
      </c>
      <c r="E38" t="str">
        <f>IF(Table1[[#This Row],[Acceleration]]&gt;0,"Accelerating",IF(Table1[[#This Row],[Acceleration]]&lt;0,"Braking","Constant"))</f>
        <v>Accelerating</v>
      </c>
      <c r="F38">
        <v>41</v>
      </c>
      <c r="G38">
        <f>IF(ISBLANK(Table1[[#This Row],[Temperature]]),AVERAGE(Table1[Temperature]),Table1[[#This Row],[Temperature]])</f>
        <v>41</v>
      </c>
      <c r="H38">
        <f>IF(ISBLANK(Table1[[#This Row],[Temperature]]),"Unknown",Table1[[#This Row],[Temperature]])</f>
        <v>41</v>
      </c>
      <c r="I38" t="s">
        <v>1</v>
      </c>
      <c r="J38" t="str">
        <f>PROPER(Table1[[#This Row],[Engine Status]])</f>
        <v>Off</v>
      </c>
      <c r="K38">
        <v>69</v>
      </c>
      <c r="L38" t="str">
        <f>IF(Table1[[#This Row],[Battery Level]]&lt;30,"Low",IF(Table1[[#This Row],[Battery Level]]&lt;60,"Medium","High"))</f>
        <v>High</v>
      </c>
    </row>
    <row r="39" spans="1:12" x14ac:dyDescent="0.3">
      <c r="A39">
        <v>38</v>
      </c>
      <c r="B39">
        <v>38.94</v>
      </c>
      <c r="C39" t="str">
        <f>IF(Table1[[#This Row],[Speed]]&lt;30,"Low",IF(Table1[[#This Row],[Speed]]&lt;60,"Medium","Fast"))</f>
        <v>Medium</v>
      </c>
      <c r="D39">
        <v>0.74</v>
      </c>
      <c r="E39" t="str">
        <f>IF(Table1[[#This Row],[Acceleration]]&gt;0,"Accelerating",IF(Table1[[#This Row],[Acceleration]]&lt;0,"Braking","Constant"))</f>
        <v>Accelerating</v>
      </c>
      <c r="F39">
        <v>61.73</v>
      </c>
      <c r="G39">
        <f>IF(ISBLANK(Table1[[#This Row],[Temperature]]),AVERAGE(Table1[Temperature]),Table1[[#This Row],[Temperature]])</f>
        <v>61.73</v>
      </c>
      <c r="H39">
        <f>IF(ISBLANK(Table1[[#This Row],[Temperature]]),"Unknown",Table1[[#This Row],[Temperature]])</f>
        <v>61.73</v>
      </c>
      <c r="I39" t="s">
        <v>1</v>
      </c>
      <c r="J39" t="str">
        <f>PROPER(Table1[[#This Row],[Engine Status]])</f>
        <v>Off</v>
      </c>
      <c r="K39">
        <v>31</v>
      </c>
      <c r="L39" t="str">
        <f>IF(Table1[[#This Row],[Battery Level]]&lt;30,"Low",IF(Table1[[#This Row],[Battery Level]]&lt;60,"Medium","High"))</f>
        <v>Medium</v>
      </c>
    </row>
    <row r="40" spans="1:12" x14ac:dyDescent="0.3">
      <c r="A40">
        <v>39</v>
      </c>
      <c r="B40">
        <v>32.340000000000003</v>
      </c>
      <c r="C40" t="str">
        <f>IF(Table1[[#This Row],[Speed]]&lt;30,"Low",IF(Table1[[#This Row],[Speed]]&lt;60,"Medium","Fast"))</f>
        <v>Medium</v>
      </c>
      <c r="D40">
        <v>1.67</v>
      </c>
      <c r="E40" t="str">
        <f>IF(Table1[[#This Row],[Acceleration]]&gt;0,"Accelerating",IF(Table1[[#This Row],[Acceleration]]&lt;0,"Braking","Constant"))</f>
        <v>Accelerating</v>
      </c>
      <c r="F40">
        <v>50.37</v>
      </c>
      <c r="G40">
        <f>IF(ISBLANK(Table1[[#This Row],[Temperature]]),AVERAGE(Table1[Temperature]),Table1[[#This Row],[Temperature]])</f>
        <v>50.37</v>
      </c>
      <c r="H40">
        <f>IF(ISBLANK(Table1[[#This Row],[Temperature]]),"Unknown",Table1[[#This Row],[Temperature]])</f>
        <v>50.37</v>
      </c>
      <c r="I40" t="s">
        <v>1</v>
      </c>
      <c r="J40" t="str">
        <f>PROPER(Table1[[#This Row],[Engine Status]])</f>
        <v>Off</v>
      </c>
      <c r="K40">
        <v>94</v>
      </c>
      <c r="L40" t="str">
        <f>IF(Table1[[#This Row],[Battery Level]]&lt;30,"Low",IF(Table1[[#This Row],[Battery Level]]&lt;60,"Medium","High"))</f>
        <v>High</v>
      </c>
    </row>
    <row r="41" spans="1:12" x14ac:dyDescent="0.3">
      <c r="A41">
        <v>40</v>
      </c>
      <c r="B41">
        <v>22.91</v>
      </c>
      <c r="C41" t="str">
        <f>IF(Table1[[#This Row],[Speed]]&lt;30,"Low",IF(Table1[[#This Row],[Speed]]&lt;60,"Medium","Fast"))</f>
        <v>Low</v>
      </c>
      <c r="D41">
        <v>2.77</v>
      </c>
      <c r="E41" t="str">
        <f>IF(Table1[[#This Row],[Acceleration]]&gt;0,"Accelerating",IF(Table1[[#This Row],[Acceleration]]&lt;0,"Braking","Constant"))</f>
        <v>Accelerating</v>
      </c>
      <c r="F41">
        <v>31.51</v>
      </c>
      <c r="G41">
        <f>IF(ISBLANK(Table1[[#This Row],[Temperature]]),AVERAGE(Table1[Temperature]),Table1[[#This Row],[Temperature]])</f>
        <v>31.51</v>
      </c>
      <c r="H41">
        <f>IF(ISBLANK(Table1[[#This Row],[Temperature]]),"Unknown",Table1[[#This Row],[Temperature]])</f>
        <v>31.51</v>
      </c>
      <c r="I41" t="s">
        <v>1</v>
      </c>
      <c r="J41" t="str">
        <f>PROPER(Table1[[#This Row],[Engine Status]])</f>
        <v>Off</v>
      </c>
      <c r="K41">
        <v>84</v>
      </c>
      <c r="L41" t="str">
        <f>IF(Table1[[#This Row],[Battery Level]]&lt;30,"Low",IF(Table1[[#This Row],[Battery Level]]&lt;60,"Medium","High"))</f>
        <v>High</v>
      </c>
    </row>
    <row r="42" spans="1:12" x14ac:dyDescent="0.3">
      <c r="A42">
        <v>41</v>
      </c>
      <c r="B42">
        <v>83.36</v>
      </c>
      <c r="C42" t="str">
        <f>IF(Table1[[#This Row],[Speed]]&lt;30,"Low",IF(Table1[[#This Row],[Speed]]&lt;60,"Medium","Fast"))</f>
        <v>Fast</v>
      </c>
      <c r="D42">
        <v>3.62</v>
      </c>
      <c r="E42" t="str">
        <f>IF(Table1[[#This Row],[Acceleration]]&gt;0,"Accelerating",IF(Table1[[#This Row],[Acceleration]]&lt;0,"Braking","Constant"))</f>
        <v>Accelerating</v>
      </c>
      <c r="F42">
        <v>28.16</v>
      </c>
      <c r="G42">
        <f>IF(ISBLANK(Table1[[#This Row],[Temperature]]),AVERAGE(Table1[Temperature]),Table1[[#This Row],[Temperature]])</f>
        <v>28.16</v>
      </c>
      <c r="H42">
        <f>IF(ISBLANK(Table1[[#This Row],[Temperature]]),"Unknown",Table1[[#This Row],[Temperature]])</f>
        <v>28.16</v>
      </c>
      <c r="I42" t="s">
        <v>0</v>
      </c>
      <c r="J42" t="str">
        <f>PROPER(Table1[[#This Row],[Engine Status]])</f>
        <v>On</v>
      </c>
      <c r="K42">
        <v>66</v>
      </c>
      <c r="L42" t="str">
        <f>IF(Table1[[#This Row],[Battery Level]]&lt;30,"Low",IF(Table1[[#This Row],[Battery Level]]&lt;60,"Medium","High"))</f>
        <v>High</v>
      </c>
    </row>
    <row r="43" spans="1:12" x14ac:dyDescent="0.3">
      <c r="A43">
        <v>42</v>
      </c>
      <c r="B43">
        <v>26.25</v>
      </c>
      <c r="C43" t="str">
        <f>IF(Table1[[#This Row],[Speed]]&lt;30,"Low",IF(Table1[[#This Row],[Speed]]&lt;60,"Medium","Fast"))</f>
        <v>Low</v>
      </c>
      <c r="D43">
        <v>-1.86</v>
      </c>
      <c r="E43" t="str">
        <f>IF(Table1[[#This Row],[Acceleration]]&gt;0,"Accelerating",IF(Table1[[#This Row],[Acceleration]]&lt;0,"Braking","Constant"))</f>
        <v>Braking</v>
      </c>
      <c r="F43">
        <v>58.27</v>
      </c>
      <c r="G43">
        <f>IF(ISBLANK(Table1[[#This Row],[Temperature]]),AVERAGE(Table1[Temperature]),Table1[[#This Row],[Temperature]])</f>
        <v>58.27</v>
      </c>
      <c r="H43">
        <f>IF(ISBLANK(Table1[[#This Row],[Temperature]]),"Unknown",Table1[[#This Row],[Temperature]])</f>
        <v>58.27</v>
      </c>
      <c r="I43" t="s">
        <v>0</v>
      </c>
      <c r="J43" t="str">
        <f>PROPER(Table1[[#This Row],[Engine Status]])</f>
        <v>On</v>
      </c>
      <c r="K43">
        <v>72</v>
      </c>
      <c r="L43" t="str">
        <f>IF(Table1[[#This Row],[Battery Level]]&lt;30,"Low",IF(Table1[[#This Row],[Battery Level]]&lt;60,"Medium","High"))</f>
        <v>High</v>
      </c>
    </row>
    <row r="44" spans="1:12" x14ac:dyDescent="0.3">
      <c r="A44">
        <v>43</v>
      </c>
      <c r="B44">
        <v>71.44</v>
      </c>
      <c r="C44" t="str">
        <f>IF(Table1[[#This Row],[Speed]]&lt;30,"Low",IF(Table1[[#This Row],[Speed]]&lt;60,"Medium","Fast"))</f>
        <v>Fast</v>
      </c>
      <c r="D44">
        <v>0.38</v>
      </c>
      <c r="E44" t="str">
        <f>IF(Table1[[#This Row],[Acceleration]]&gt;0,"Accelerating",IF(Table1[[#This Row],[Acceleration]]&lt;0,"Braking","Constant"))</f>
        <v>Accelerating</v>
      </c>
      <c r="F44">
        <v>83.17</v>
      </c>
      <c r="G44">
        <f>IF(ISBLANK(Table1[[#This Row],[Temperature]]),AVERAGE(Table1[Temperature]),Table1[[#This Row],[Temperature]])</f>
        <v>83.17</v>
      </c>
      <c r="H44">
        <f>IF(ISBLANK(Table1[[#This Row],[Temperature]]),"Unknown",Table1[[#This Row],[Temperature]])</f>
        <v>83.17</v>
      </c>
      <c r="I44" t="s">
        <v>0</v>
      </c>
      <c r="J44" t="str">
        <f>PROPER(Table1[[#This Row],[Engine Status]])</f>
        <v>On</v>
      </c>
      <c r="K44">
        <v>90</v>
      </c>
      <c r="L44" t="str">
        <f>IF(Table1[[#This Row],[Battery Level]]&lt;30,"Low",IF(Table1[[#This Row],[Battery Level]]&lt;60,"Medium","High"))</f>
        <v>High</v>
      </c>
    </row>
    <row r="45" spans="1:12" x14ac:dyDescent="0.3">
      <c r="A45">
        <v>44</v>
      </c>
      <c r="B45">
        <v>31.76</v>
      </c>
      <c r="C45" t="str">
        <f>IF(Table1[[#This Row],[Speed]]&lt;30,"Low",IF(Table1[[#This Row],[Speed]]&lt;60,"Medium","Fast"))</f>
        <v>Medium</v>
      </c>
      <c r="D45">
        <v>3.4</v>
      </c>
      <c r="E45" t="str">
        <f>IF(Table1[[#This Row],[Acceleration]]&gt;0,"Accelerating",IF(Table1[[#This Row],[Acceleration]]&lt;0,"Braking","Constant"))</f>
        <v>Accelerating</v>
      </c>
      <c r="G45">
        <f>IF(ISBLANK(Table1[[#This Row],[Temperature]]),AVERAGE(Table1[Temperature]),Table1[[#This Row],[Temperature]])</f>
        <v>56.31555555555552</v>
      </c>
      <c r="H45" t="str">
        <f>IF(ISBLANK(Table1[[#This Row],[Temperature]]),"Unknown",Table1[[#This Row],[Temperature]])</f>
        <v>Unknown</v>
      </c>
      <c r="I45" t="s">
        <v>0</v>
      </c>
      <c r="J45" t="str">
        <f>PROPER(Table1[[#This Row],[Engine Status]])</f>
        <v>On</v>
      </c>
      <c r="K45">
        <v>21</v>
      </c>
      <c r="L45" t="str">
        <f>IF(Table1[[#This Row],[Battery Level]]&lt;30,"Low",IF(Table1[[#This Row],[Battery Level]]&lt;60,"Medium","High"))</f>
        <v>Low</v>
      </c>
    </row>
    <row r="46" spans="1:12" x14ac:dyDescent="0.3">
      <c r="A46">
        <v>45</v>
      </c>
      <c r="B46">
        <v>79.44</v>
      </c>
      <c r="C46" t="str">
        <f>IF(Table1[[#This Row],[Speed]]&lt;30,"Low",IF(Table1[[#This Row],[Speed]]&lt;60,"Medium","Fast"))</f>
        <v>Fast</v>
      </c>
      <c r="D46">
        <v>4.8899999999999997</v>
      </c>
      <c r="E46" t="str">
        <f>IF(Table1[[#This Row],[Acceleration]]&gt;0,"Accelerating",IF(Table1[[#This Row],[Acceleration]]&lt;0,"Braking","Constant"))</f>
        <v>Accelerating</v>
      </c>
      <c r="F46">
        <v>71.31</v>
      </c>
      <c r="G46">
        <f>IF(ISBLANK(Table1[[#This Row],[Temperature]]),AVERAGE(Table1[Temperature]),Table1[[#This Row],[Temperature]])</f>
        <v>71.31</v>
      </c>
      <c r="H46">
        <f>IF(ISBLANK(Table1[[#This Row],[Temperature]]),"Unknown",Table1[[#This Row],[Temperature]])</f>
        <v>71.31</v>
      </c>
      <c r="I46" t="s">
        <v>0</v>
      </c>
      <c r="J46" t="str">
        <f>PROPER(Table1[[#This Row],[Engine Status]])</f>
        <v>On</v>
      </c>
      <c r="K46">
        <v>43</v>
      </c>
      <c r="L46" t="str">
        <f>IF(Table1[[#This Row],[Battery Level]]&lt;30,"Low",IF(Table1[[#This Row],[Battery Level]]&lt;60,"Medium","High"))</f>
        <v>Medium</v>
      </c>
    </row>
    <row r="47" spans="1:12" x14ac:dyDescent="0.3">
      <c r="A47">
        <v>46</v>
      </c>
      <c r="B47">
        <v>97.79</v>
      </c>
      <c r="C47" t="str">
        <f>IF(Table1[[#This Row],[Speed]]&lt;30,"Low",IF(Table1[[#This Row],[Speed]]&lt;60,"Medium","Fast"))</f>
        <v>Fast</v>
      </c>
      <c r="D47">
        <v>3.9</v>
      </c>
      <c r="E47" t="str">
        <f>IF(Table1[[#This Row],[Acceleration]]&gt;0,"Accelerating",IF(Table1[[#This Row],[Acceleration]]&lt;0,"Braking","Constant"))</f>
        <v>Accelerating</v>
      </c>
      <c r="F47">
        <v>66.11</v>
      </c>
      <c r="G47">
        <f>IF(ISBLANK(Table1[[#This Row],[Temperature]]),AVERAGE(Table1[Temperature]),Table1[[#This Row],[Temperature]])</f>
        <v>66.11</v>
      </c>
      <c r="H47">
        <f>IF(ISBLANK(Table1[[#This Row],[Temperature]]),"Unknown",Table1[[#This Row],[Temperature]])</f>
        <v>66.11</v>
      </c>
      <c r="I47" t="s">
        <v>1</v>
      </c>
      <c r="J47" t="str">
        <f>PROPER(Table1[[#This Row],[Engine Status]])</f>
        <v>Off</v>
      </c>
      <c r="K47">
        <v>23</v>
      </c>
      <c r="L47" t="str">
        <f>IF(Table1[[#This Row],[Battery Level]]&lt;30,"Low",IF(Table1[[#This Row],[Battery Level]]&lt;60,"Medium","High"))</f>
        <v>Low</v>
      </c>
    </row>
    <row r="48" spans="1:12" x14ac:dyDescent="0.3">
      <c r="A48">
        <v>47</v>
      </c>
      <c r="B48">
        <v>93.36</v>
      </c>
      <c r="C48" t="str">
        <f>IF(Table1[[#This Row],[Speed]]&lt;30,"Low",IF(Table1[[#This Row],[Speed]]&lt;60,"Medium","Fast"))</f>
        <v>Fast</v>
      </c>
      <c r="D48">
        <v>-1.29</v>
      </c>
      <c r="E48" t="str">
        <f>IF(Table1[[#This Row],[Acceleration]]&gt;0,"Accelerating",IF(Table1[[#This Row],[Acceleration]]&lt;0,"Braking","Constant"))</f>
        <v>Braking</v>
      </c>
      <c r="F48">
        <v>85.21</v>
      </c>
      <c r="G48">
        <f>IF(ISBLANK(Table1[[#This Row],[Temperature]]),AVERAGE(Table1[Temperature]),Table1[[#This Row],[Temperature]])</f>
        <v>85.21</v>
      </c>
      <c r="H48">
        <f>IF(ISBLANK(Table1[[#This Row],[Temperature]]),"Unknown",Table1[[#This Row],[Temperature]])</f>
        <v>85.21</v>
      </c>
      <c r="I48" t="s">
        <v>0</v>
      </c>
      <c r="J48" t="str">
        <f>PROPER(Table1[[#This Row],[Engine Status]])</f>
        <v>On</v>
      </c>
      <c r="K48">
        <v>38</v>
      </c>
      <c r="L48" t="str">
        <f>IF(Table1[[#This Row],[Battery Level]]&lt;30,"Low",IF(Table1[[#This Row],[Battery Level]]&lt;60,"Medium","High"))</f>
        <v>Medium</v>
      </c>
    </row>
    <row r="49" spans="1:12" x14ac:dyDescent="0.3">
      <c r="A49">
        <v>48</v>
      </c>
      <c r="B49">
        <v>91.3</v>
      </c>
      <c r="C49" t="str">
        <f>IF(Table1[[#This Row],[Speed]]&lt;30,"Low",IF(Table1[[#This Row],[Speed]]&lt;60,"Medium","Fast"))</f>
        <v>Fast</v>
      </c>
      <c r="D49">
        <v>-3.05</v>
      </c>
      <c r="E49" t="str">
        <f>IF(Table1[[#This Row],[Acceleration]]&gt;0,"Accelerating",IF(Table1[[#This Row],[Acceleration]]&lt;0,"Braking","Constant"))</f>
        <v>Braking</v>
      </c>
      <c r="G49">
        <f>IF(ISBLANK(Table1[[#This Row],[Temperature]]),AVERAGE(Table1[Temperature]),Table1[[#This Row],[Temperature]])</f>
        <v>56.31555555555552</v>
      </c>
      <c r="H49" t="str">
        <f>IF(ISBLANK(Table1[[#This Row],[Temperature]]),"Unknown",Table1[[#This Row],[Temperature]])</f>
        <v>Unknown</v>
      </c>
      <c r="I49" t="s">
        <v>0</v>
      </c>
      <c r="J49" t="str">
        <f>PROPER(Table1[[#This Row],[Engine Status]])</f>
        <v>On</v>
      </c>
      <c r="K49">
        <v>45</v>
      </c>
      <c r="L49" t="str">
        <f>IF(Table1[[#This Row],[Battery Level]]&lt;30,"Low",IF(Table1[[#This Row],[Battery Level]]&lt;60,"Medium","High"))</f>
        <v>Medium</v>
      </c>
    </row>
    <row r="50" spans="1:12" x14ac:dyDescent="0.3">
      <c r="A50">
        <v>49</v>
      </c>
      <c r="B50">
        <v>22.53</v>
      </c>
      <c r="C50" t="str">
        <f>IF(Table1[[#This Row],[Speed]]&lt;30,"Low",IF(Table1[[#This Row],[Speed]]&lt;60,"Medium","Fast"))</f>
        <v>Low</v>
      </c>
      <c r="D50">
        <v>-0.11</v>
      </c>
      <c r="E50" t="str">
        <f>IF(Table1[[#This Row],[Acceleration]]&gt;0,"Accelerating",IF(Table1[[#This Row],[Acceleration]]&lt;0,"Braking","Constant"))</f>
        <v>Braking</v>
      </c>
      <c r="F50">
        <v>59.66</v>
      </c>
      <c r="G50">
        <f>IF(ISBLANK(Table1[[#This Row],[Temperature]]),AVERAGE(Table1[Temperature]),Table1[[#This Row],[Temperature]])</f>
        <v>59.66</v>
      </c>
      <c r="H50">
        <f>IF(ISBLANK(Table1[[#This Row],[Temperature]]),"Unknown",Table1[[#This Row],[Temperature]])</f>
        <v>59.66</v>
      </c>
      <c r="I50" t="s">
        <v>0</v>
      </c>
      <c r="J50" t="str">
        <f>PROPER(Table1[[#This Row],[Engine Status]])</f>
        <v>On</v>
      </c>
      <c r="K50">
        <v>94</v>
      </c>
      <c r="L50" t="str">
        <f>IF(Table1[[#This Row],[Battery Level]]&lt;30,"Low",IF(Table1[[#This Row],[Battery Level]]&lt;60,"Medium","High"))</f>
        <v>High</v>
      </c>
    </row>
    <row r="51" spans="1:12" x14ac:dyDescent="0.3">
      <c r="A51">
        <v>50</v>
      </c>
      <c r="B51">
        <v>10.61</v>
      </c>
      <c r="C51" t="str">
        <f>IF(Table1[[#This Row],[Speed]]&lt;30,"Low",IF(Table1[[#This Row],[Speed]]&lt;60,"Medium","Fast"))</f>
        <v>Low</v>
      </c>
      <c r="D51">
        <v>2.42</v>
      </c>
      <c r="E51" t="str">
        <f>IF(Table1[[#This Row],[Acceleration]]&gt;0,"Accelerating",IF(Table1[[#This Row],[Acceleration]]&lt;0,"Braking","Constant"))</f>
        <v>Accelerating</v>
      </c>
      <c r="F51">
        <v>65.989999999999995</v>
      </c>
      <c r="G51">
        <f>IF(ISBLANK(Table1[[#This Row],[Temperature]]),AVERAGE(Table1[Temperature]),Table1[[#This Row],[Temperature]])</f>
        <v>65.989999999999995</v>
      </c>
      <c r="H51">
        <f>IF(ISBLANK(Table1[[#This Row],[Temperature]]),"Unknown",Table1[[#This Row],[Temperature]])</f>
        <v>65.989999999999995</v>
      </c>
      <c r="I51" t="s">
        <v>0</v>
      </c>
      <c r="J51" t="str">
        <f>PROPER(Table1[[#This Row],[Engine Status]])</f>
        <v>On</v>
      </c>
      <c r="K51">
        <v>59</v>
      </c>
      <c r="L51" t="str">
        <f>IF(Table1[[#This Row],[Battery Level]]&lt;30,"Low",IF(Table1[[#This Row],[Battery Level]]&lt;60,"Medium","High"))</f>
        <v>Medium</v>
      </c>
    </row>
    <row r="52" spans="1:12" x14ac:dyDescent="0.3">
      <c r="A52">
        <v>51</v>
      </c>
      <c r="B52">
        <v>83.87</v>
      </c>
      <c r="C52" t="str">
        <f>IF(Table1[[#This Row],[Speed]]&lt;30,"Low",IF(Table1[[#This Row],[Speed]]&lt;60,"Medium","Fast"))</f>
        <v>Fast</v>
      </c>
      <c r="D52">
        <v>-7.0000000000000007E-2</v>
      </c>
      <c r="E52" t="str">
        <f>IF(Table1[[#This Row],[Acceleration]]&gt;0,"Accelerating",IF(Table1[[#This Row],[Acceleration]]&lt;0,"Braking","Constant"))</f>
        <v>Braking</v>
      </c>
      <c r="F52">
        <v>82.89</v>
      </c>
      <c r="G52">
        <f>IF(ISBLANK(Table1[[#This Row],[Temperature]]),AVERAGE(Table1[Temperature]),Table1[[#This Row],[Temperature]])</f>
        <v>82.89</v>
      </c>
      <c r="H52">
        <f>IF(ISBLANK(Table1[[#This Row],[Temperature]]),"Unknown",Table1[[#This Row],[Temperature]])</f>
        <v>82.89</v>
      </c>
      <c r="I52" t="s">
        <v>1</v>
      </c>
      <c r="J52" t="str">
        <f>PROPER(Table1[[#This Row],[Engine Status]])</f>
        <v>Off</v>
      </c>
      <c r="K52">
        <v>69</v>
      </c>
      <c r="L52" t="str">
        <f>IF(Table1[[#This Row],[Battery Level]]&lt;30,"Low",IF(Table1[[#This Row],[Battery Level]]&lt;60,"Medium","High"))</f>
        <v>High</v>
      </c>
    </row>
    <row r="53" spans="1:12" x14ac:dyDescent="0.3">
      <c r="A53">
        <v>52</v>
      </c>
      <c r="B53">
        <v>44.2</v>
      </c>
      <c r="C53" t="str">
        <f>IF(Table1[[#This Row],[Speed]]&lt;30,"Low",IF(Table1[[#This Row],[Speed]]&lt;60,"Medium","Fast"))</f>
        <v>Medium</v>
      </c>
      <c r="D53">
        <v>-0.17</v>
      </c>
      <c r="E53" t="str">
        <f>IF(Table1[[#This Row],[Acceleration]]&gt;0,"Accelerating",IF(Table1[[#This Row],[Acceleration]]&lt;0,"Braking","Constant"))</f>
        <v>Braking</v>
      </c>
      <c r="F53">
        <v>47.97</v>
      </c>
      <c r="G53">
        <f>IF(ISBLANK(Table1[[#This Row],[Temperature]]),AVERAGE(Table1[Temperature]),Table1[[#This Row],[Temperature]])</f>
        <v>47.97</v>
      </c>
      <c r="H53">
        <f>IF(ISBLANK(Table1[[#This Row],[Temperature]]),"Unknown",Table1[[#This Row],[Temperature]])</f>
        <v>47.97</v>
      </c>
      <c r="I53" t="s">
        <v>1</v>
      </c>
      <c r="J53" t="str">
        <f>PROPER(Table1[[#This Row],[Engine Status]])</f>
        <v>Off</v>
      </c>
      <c r="K53">
        <v>62</v>
      </c>
      <c r="L53" t="str">
        <f>IF(Table1[[#This Row],[Battery Level]]&lt;30,"Low",IF(Table1[[#This Row],[Battery Level]]&lt;60,"Medium","High"))</f>
        <v>High</v>
      </c>
    </row>
    <row r="54" spans="1:12" x14ac:dyDescent="0.3">
      <c r="A54">
        <v>53</v>
      </c>
      <c r="B54">
        <v>51.88</v>
      </c>
      <c r="C54" t="str">
        <f>IF(Table1[[#This Row],[Speed]]&lt;30,"Low",IF(Table1[[#This Row],[Speed]]&lt;60,"Medium","Fast"))</f>
        <v>Medium</v>
      </c>
      <c r="D54">
        <v>3.38</v>
      </c>
      <c r="E54" t="str">
        <f>IF(Table1[[#This Row],[Acceleration]]&gt;0,"Accelerating",IF(Table1[[#This Row],[Acceleration]]&lt;0,"Braking","Constant"))</f>
        <v>Accelerating</v>
      </c>
      <c r="F54">
        <v>42.88</v>
      </c>
      <c r="G54">
        <f>IF(ISBLANK(Table1[[#This Row],[Temperature]]),AVERAGE(Table1[Temperature]),Table1[[#This Row],[Temperature]])</f>
        <v>42.88</v>
      </c>
      <c r="H54">
        <f>IF(ISBLANK(Table1[[#This Row],[Temperature]]),"Unknown",Table1[[#This Row],[Temperature]])</f>
        <v>42.88</v>
      </c>
      <c r="I54" t="s">
        <v>1</v>
      </c>
      <c r="J54" t="str">
        <f>PROPER(Table1[[#This Row],[Engine Status]])</f>
        <v>Off</v>
      </c>
      <c r="K54">
        <v>94</v>
      </c>
      <c r="L54" t="str">
        <f>IF(Table1[[#This Row],[Battery Level]]&lt;30,"Low",IF(Table1[[#This Row],[Battery Level]]&lt;60,"Medium","High"))</f>
        <v>High</v>
      </c>
    </row>
    <row r="55" spans="1:12" x14ac:dyDescent="0.3">
      <c r="A55">
        <v>54</v>
      </c>
      <c r="B55">
        <v>3.74</v>
      </c>
      <c r="C55" t="str">
        <f>IF(Table1[[#This Row],[Speed]]&lt;30,"Low",IF(Table1[[#This Row],[Speed]]&lt;60,"Medium","Fast"))</f>
        <v>Low</v>
      </c>
      <c r="D55">
        <v>-1.39</v>
      </c>
      <c r="E55" t="str">
        <f>IF(Table1[[#This Row],[Acceleration]]&gt;0,"Accelerating",IF(Table1[[#This Row],[Acceleration]]&lt;0,"Braking","Constant"))</f>
        <v>Braking</v>
      </c>
      <c r="F55">
        <v>20.76</v>
      </c>
      <c r="G55">
        <f>IF(ISBLANK(Table1[[#This Row],[Temperature]]),AVERAGE(Table1[Temperature]),Table1[[#This Row],[Temperature]])</f>
        <v>20.76</v>
      </c>
      <c r="H55">
        <f>IF(ISBLANK(Table1[[#This Row],[Temperature]]),"Unknown",Table1[[#This Row],[Temperature]])</f>
        <v>20.76</v>
      </c>
      <c r="I55" t="s">
        <v>1</v>
      </c>
      <c r="J55" t="str">
        <f>PROPER(Table1[[#This Row],[Engine Status]])</f>
        <v>Off</v>
      </c>
      <c r="K55">
        <v>86</v>
      </c>
      <c r="L55" t="str">
        <f>IF(Table1[[#This Row],[Battery Level]]&lt;30,"Low",IF(Table1[[#This Row],[Battery Level]]&lt;60,"Medium","High"))</f>
        <v>High</v>
      </c>
    </row>
    <row r="56" spans="1:12" x14ac:dyDescent="0.3">
      <c r="A56">
        <v>55</v>
      </c>
      <c r="B56">
        <v>31.15</v>
      </c>
      <c r="C56" t="str">
        <f>IF(Table1[[#This Row],[Speed]]&lt;30,"Low",IF(Table1[[#This Row],[Speed]]&lt;60,"Medium","Fast"))</f>
        <v>Medium</v>
      </c>
      <c r="D56">
        <v>3.6</v>
      </c>
      <c r="E56" t="str">
        <f>IF(Table1[[#This Row],[Acceleration]]&gt;0,"Accelerating",IF(Table1[[#This Row],[Acceleration]]&lt;0,"Braking","Constant"))</f>
        <v>Accelerating</v>
      </c>
      <c r="G56">
        <f>IF(ISBLANK(Table1[[#This Row],[Temperature]]),AVERAGE(Table1[Temperature]),Table1[[#This Row],[Temperature]])</f>
        <v>56.31555555555552</v>
      </c>
      <c r="H56" t="str">
        <f>IF(ISBLANK(Table1[[#This Row],[Temperature]]),"Unknown",Table1[[#This Row],[Temperature]])</f>
        <v>Unknown</v>
      </c>
      <c r="I56" t="s">
        <v>1</v>
      </c>
      <c r="J56" t="str">
        <f>PROPER(Table1[[#This Row],[Engine Status]])</f>
        <v>Off</v>
      </c>
      <c r="K56">
        <v>31</v>
      </c>
      <c r="L56" t="str">
        <f>IF(Table1[[#This Row],[Battery Level]]&lt;30,"Low",IF(Table1[[#This Row],[Battery Level]]&lt;60,"Medium","High"))</f>
        <v>Medium</v>
      </c>
    </row>
    <row r="57" spans="1:12" x14ac:dyDescent="0.3">
      <c r="A57">
        <v>56</v>
      </c>
      <c r="B57">
        <v>4.04</v>
      </c>
      <c r="C57" t="str">
        <f>IF(Table1[[#This Row],[Speed]]&lt;30,"Low",IF(Table1[[#This Row],[Speed]]&lt;60,"Medium","Fast"))</f>
        <v>Low</v>
      </c>
      <c r="D57">
        <v>-0.93</v>
      </c>
      <c r="E57" t="str">
        <f>IF(Table1[[#This Row],[Acceleration]]&gt;0,"Accelerating",IF(Table1[[#This Row],[Acceleration]]&lt;0,"Braking","Constant"))</f>
        <v>Braking</v>
      </c>
      <c r="F57">
        <v>76.069999999999993</v>
      </c>
      <c r="G57">
        <f>IF(ISBLANK(Table1[[#This Row],[Temperature]]),AVERAGE(Table1[Temperature]),Table1[[#This Row],[Temperature]])</f>
        <v>76.069999999999993</v>
      </c>
      <c r="H57">
        <f>IF(ISBLANK(Table1[[#This Row],[Temperature]]),"Unknown",Table1[[#This Row],[Temperature]])</f>
        <v>76.069999999999993</v>
      </c>
      <c r="I57" t="s">
        <v>0</v>
      </c>
      <c r="J57" t="str">
        <f>PROPER(Table1[[#This Row],[Engine Status]])</f>
        <v>On</v>
      </c>
      <c r="K57">
        <v>86</v>
      </c>
      <c r="L57" t="str">
        <f>IF(Table1[[#This Row],[Battery Level]]&lt;30,"Low",IF(Table1[[#This Row],[Battery Level]]&lt;60,"Medium","High"))</f>
        <v>High</v>
      </c>
    </row>
    <row r="58" spans="1:12" x14ac:dyDescent="0.3">
      <c r="A58">
        <v>57</v>
      </c>
      <c r="B58">
        <v>105.5</v>
      </c>
      <c r="C58" t="str">
        <f>IF(Table1[[#This Row],[Speed]]&lt;30,"Low",IF(Table1[[#This Row],[Speed]]&lt;60,"Medium","Fast"))</f>
        <v>Fast</v>
      </c>
      <c r="D58">
        <v>-1.72</v>
      </c>
      <c r="E58" t="str">
        <f>IF(Table1[[#This Row],[Acceleration]]&gt;0,"Accelerating",IF(Table1[[#This Row],[Acceleration]]&lt;0,"Braking","Constant"))</f>
        <v>Braking</v>
      </c>
      <c r="F58">
        <v>27.31</v>
      </c>
      <c r="G58">
        <f>IF(ISBLANK(Table1[[#This Row],[Temperature]]),AVERAGE(Table1[Temperature]),Table1[[#This Row],[Temperature]])</f>
        <v>27.31</v>
      </c>
      <c r="H58">
        <f>IF(ISBLANK(Table1[[#This Row],[Temperature]]),"Unknown",Table1[[#This Row],[Temperature]])</f>
        <v>27.31</v>
      </c>
      <c r="I58" t="s">
        <v>1</v>
      </c>
      <c r="J58" t="str">
        <f>PROPER(Table1[[#This Row],[Engine Status]])</f>
        <v>Off</v>
      </c>
      <c r="K58">
        <v>46</v>
      </c>
      <c r="L58" t="str">
        <f>IF(Table1[[#This Row],[Battery Level]]&lt;30,"Low",IF(Table1[[#This Row],[Battery Level]]&lt;60,"Medium","High"))</f>
        <v>Medium</v>
      </c>
    </row>
    <row r="59" spans="1:12" x14ac:dyDescent="0.3">
      <c r="A59">
        <v>58</v>
      </c>
      <c r="B59">
        <v>29.21</v>
      </c>
      <c r="C59" t="str">
        <f>IF(Table1[[#This Row],[Speed]]&lt;30,"Low",IF(Table1[[#This Row],[Speed]]&lt;60,"Medium","Fast"))</f>
        <v>Low</v>
      </c>
      <c r="D59">
        <v>-0.46</v>
      </c>
      <c r="E59" t="str">
        <f>IF(Table1[[#This Row],[Acceleration]]&gt;0,"Accelerating",IF(Table1[[#This Row],[Acceleration]]&lt;0,"Braking","Constant"))</f>
        <v>Braking</v>
      </c>
      <c r="F59">
        <v>60.38</v>
      </c>
      <c r="G59">
        <f>IF(ISBLANK(Table1[[#This Row],[Temperature]]),AVERAGE(Table1[Temperature]),Table1[[#This Row],[Temperature]])</f>
        <v>60.38</v>
      </c>
      <c r="H59">
        <f>IF(ISBLANK(Table1[[#This Row],[Temperature]]),"Unknown",Table1[[#This Row],[Temperature]])</f>
        <v>60.38</v>
      </c>
      <c r="I59" t="s">
        <v>1</v>
      </c>
      <c r="J59" t="str">
        <f>PROPER(Table1[[#This Row],[Engine Status]])</f>
        <v>Off</v>
      </c>
      <c r="K59">
        <v>73</v>
      </c>
      <c r="L59" t="str">
        <f>IF(Table1[[#This Row],[Battery Level]]&lt;30,"Low",IF(Table1[[#This Row],[Battery Level]]&lt;60,"Medium","High"))</f>
        <v>High</v>
      </c>
    </row>
    <row r="60" spans="1:12" x14ac:dyDescent="0.3">
      <c r="A60">
        <v>59</v>
      </c>
      <c r="B60">
        <v>66.88</v>
      </c>
      <c r="C60" t="str">
        <f>IF(Table1[[#This Row],[Speed]]&lt;30,"Low",IF(Table1[[#This Row],[Speed]]&lt;60,"Medium","Fast"))</f>
        <v>Fast</v>
      </c>
      <c r="D60">
        <v>2.62</v>
      </c>
      <c r="E60" t="str">
        <f>IF(Table1[[#This Row],[Acceleration]]&gt;0,"Accelerating",IF(Table1[[#This Row],[Acceleration]]&lt;0,"Braking","Constant"))</f>
        <v>Accelerating</v>
      </c>
      <c r="F60">
        <v>52.48</v>
      </c>
      <c r="G60">
        <f>IF(ISBLANK(Table1[[#This Row],[Temperature]]),AVERAGE(Table1[Temperature]),Table1[[#This Row],[Temperature]])</f>
        <v>52.48</v>
      </c>
      <c r="H60">
        <f>IF(ISBLANK(Table1[[#This Row],[Temperature]]),"Unknown",Table1[[#This Row],[Temperature]])</f>
        <v>52.48</v>
      </c>
      <c r="I60" t="s">
        <v>1</v>
      </c>
      <c r="J60" t="str">
        <f>PROPER(Table1[[#This Row],[Engine Status]])</f>
        <v>Off</v>
      </c>
      <c r="K60">
        <v>85</v>
      </c>
      <c r="L60" t="str">
        <f>IF(Table1[[#This Row],[Battery Level]]&lt;30,"Low",IF(Table1[[#This Row],[Battery Level]]&lt;60,"Medium","High"))</f>
        <v>High</v>
      </c>
    </row>
    <row r="61" spans="1:12" x14ac:dyDescent="0.3">
      <c r="A61">
        <v>60</v>
      </c>
      <c r="B61">
        <v>4.68</v>
      </c>
      <c r="C61" t="str">
        <f>IF(Table1[[#This Row],[Speed]]&lt;30,"Low",IF(Table1[[#This Row],[Speed]]&lt;60,"Medium","Fast"))</f>
        <v>Low</v>
      </c>
      <c r="D61">
        <v>-3.74</v>
      </c>
      <c r="E61" t="str">
        <f>IF(Table1[[#This Row],[Acceleration]]&gt;0,"Accelerating",IF(Table1[[#This Row],[Acceleration]]&lt;0,"Braking","Constant"))</f>
        <v>Braking</v>
      </c>
      <c r="F61">
        <v>28.31</v>
      </c>
      <c r="G61">
        <f>IF(ISBLANK(Table1[[#This Row],[Temperature]]),AVERAGE(Table1[Temperature]),Table1[[#This Row],[Temperature]])</f>
        <v>28.31</v>
      </c>
      <c r="H61">
        <f>IF(ISBLANK(Table1[[#This Row],[Temperature]]),"Unknown",Table1[[#This Row],[Temperature]])</f>
        <v>28.31</v>
      </c>
      <c r="I61" t="s">
        <v>0</v>
      </c>
      <c r="J61" t="str">
        <f>PROPER(Table1[[#This Row],[Engine Status]])</f>
        <v>On</v>
      </c>
      <c r="K61">
        <v>68</v>
      </c>
      <c r="L61" t="str">
        <f>IF(Table1[[#This Row],[Battery Level]]&lt;30,"Low",IF(Table1[[#This Row],[Battery Level]]&lt;60,"Medium","High"))</f>
        <v>High</v>
      </c>
    </row>
    <row r="62" spans="1:12" x14ac:dyDescent="0.3">
      <c r="A62">
        <v>61</v>
      </c>
      <c r="B62">
        <v>80.02</v>
      </c>
      <c r="C62" t="str">
        <f>IF(Table1[[#This Row],[Speed]]&lt;30,"Low",IF(Table1[[#This Row],[Speed]]&lt;60,"Medium","Fast"))</f>
        <v>Fast</v>
      </c>
      <c r="D62">
        <v>-3.04</v>
      </c>
      <c r="E62" t="str">
        <f>IF(Table1[[#This Row],[Acceleration]]&gt;0,"Accelerating",IF(Table1[[#This Row],[Acceleration]]&lt;0,"Braking","Constant"))</f>
        <v>Braking</v>
      </c>
      <c r="F62">
        <v>88.64</v>
      </c>
      <c r="G62">
        <f>IF(ISBLANK(Table1[[#This Row],[Temperature]]),AVERAGE(Table1[Temperature]),Table1[[#This Row],[Temperature]])</f>
        <v>88.64</v>
      </c>
      <c r="H62">
        <f>IF(ISBLANK(Table1[[#This Row],[Temperature]]),"Unknown",Table1[[#This Row],[Temperature]])</f>
        <v>88.64</v>
      </c>
      <c r="I62" t="s">
        <v>0</v>
      </c>
      <c r="J62" t="str">
        <f>PROPER(Table1[[#This Row],[Engine Status]])</f>
        <v>On</v>
      </c>
      <c r="K62">
        <v>35</v>
      </c>
      <c r="L62" t="str">
        <f>IF(Table1[[#This Row],[Battery Level]]&lt;30,"Low",IF(Table1[[#This Row],[Battery Level]]&lt;60,"Medium","High"))</f>
        <v>Medium</v>
      </c>
    </row>
    <row r="63" spans="1:12" x14ac:dyDescent="0.3">
      <c r="A63">
        <v>62</v>
      </c>
      <c r="B63">
        <v>38.76</v>
      </c>
      <c r="C63" t="str">
        <f>IF(Table1[[#This Row],[Speed]]&lt;30,"Low",IF(Table1[[#This Row],[Speed]]&lt;60,"Medium","Fast"))</f>
        <v>Medium</v>
      </c>
      <c r="D63">
        <v>4.51</v>
      </c>
      <c r="E63" t="str">
        <f>IF(Table1[[#This Row],[Acceleration]]&gt;0,"Accelerating",IF(Table1[[#This Row],[Acceleration]]&lt;0,"Braking","Constant"))</f>
        <v>Accelerating</v>
      </c>
      <c r="F63">
        <v>35.03</v>
      </c>
      <c r="G63">
        <f>IF(ISBLANK(Table1[[#This Row],[Temperature]]),AVERAGE(Table1[Temperature]),Table1[[#This Row],[Temperature]])</f>
        <v>35.03</v>
      </c>
      <c r="H63">
        <f>IF(ISBLANK(Table1[[#This Row],[Temperature]]),"Unknown",Table1[[#This Row],[Temperature]])</f>
        <v>35.03</v>
      </c>
      <c r="I63" t="s">
        <v>1</v>
      </c>
      <c r="J63" t="str">
        <f>PROPER(Table1[[#This Row],[Engine Status]])</f>
        <v>Off</v>
      </c>
      <c r="K63">
        <v>21</v>
      </c>
      <c r="L63" t="str">
        <f>IF(Table1[[#This Row],[Battery Level]]&lt;30,"Low",IF(Table1[[#This Row],[Battery Level]]&lt;60,"Medium","High"))</f>
        <v>Low</v>
      </c>
    </row>
    <row r="64" spans="1:12" x14ac:dyDescent="0.3">
      <c r="A64">
        <v>63</v>
      </c>
      <c r="B64">
        <v>107.75</v>
      </c>
      <c r="C64" t="str">
        <f>IF(Table1[[#This Row],[Speed]]&lt;30,"Low",IF(Table1[[#This Row],[Speed]]&lt;60,"Medium","Fast"))</f>
        <v>Fast</v>
      </c>
      <c r="D64">
        <v>-3.25</v>
      </c>
      <c r="E64" t="str">
        <f>IF(Table1[[#This Row],[Acceleration]]&gt;0,"Accelerating",IF(Table1[[#This Row],[Acceleration]]&lt;0,"Braking","Constant"))</f>
        <v>Braking</v>
      </c>
      <c r="F64">
        <v>24.71</v>
      </c>
      <c r="G64">
        <f>IF(ISBLANK(Table1[[#This Row],[Temperature]]),AVERAGE(Table1[Temperature]),Table1[[#This Row],[Temperature]])</f>
        <v>24.71</v>
      </c>
      <c r="H64">
        <f>IF(ISBLANK(Table1[[#This Row],[Temperature]]),"Unknown",Table1[[#This Row],[Temperature]])</f>
        <v>24.71</v>
      </c>
      <c r="I64" t="s">
        <v>0</v>
      </c>
      <c r="J64" t="str">
        <f>PROPER(Table1[[#This Row],[Engine Status]])</f>
        <v>On</v>
      </c>
      <c r="K64">
        <v>79</v>
      </c>
      <c r="L64" t="str">
        <f>IF(Table1[[#This Row],[Battery Level]]&lt;30,"Low",IF(Table1[[#This Row],[Battery Level]]&lt;60,"Medium","High"))</f>
        <v>High</v>
      </c>
    </row>
    <row r="65" spans="1:12" x14ac:dyDescent="0.3">
      <c r="A65">
        <v>64</v>
      </c>
      <c r="B65">
        <v>106.57</v>
      </c>
      <c r="C65" t="str">
        <f>IF(Table1[[#This Row],[Speed]]&lt;30,"Low",IF(Table1[[#This Row],[Speed]]&lt;60,"Medium","Fast"))</f>
        <v>Fast</v>
      </c>
      <c r="D65">
        <v>0.68</v>
      </c>
      <c r="E65" t="str">
        <f>IF(Table1[[#This Row],[Acceleration]]&gt;0,"Accelerating",IF(Table1[[#This Row],[Acceleration]]&lt;0,"Braking","Constant"))</f>
        <v>Accelerating</v>
      </c>
      <c r="F65">
        <v>61.64</v>
      </c>
      <c r="G65">
        <f>IF(ISBLANK(Table1[[#This Row],[Temperature]]),AVERAGE(Table1[Temperature]),Table1[[#This Row],[Temperature]])</f>
        <v>61.64</v>
      </c>
      <c r="H65">
        <f>IF(ISBLANK(Table1[[#This Row],[Temperature]]),"Unknown",Table1[[#This Row],[Temperature]])</f>
        <v>61.64</v>
      </c>
      <c r="I65" t="s">
        <v>0</v>
      </c>
      <c r="J65" t="str">
        <f>PROPER(Table1[[#This Row],[Engine Status]])</f>
        <v>On</v>
      </c>
      <c r="K65">
        <v>73</v>
      </c>
      <c r="L65" t="str">
        <f>IF(Table1[[#This Row],[Battery Level]]&lt;30,"Low",IF(Table1[[#This Row],[Battery Level]]&lt;60,"Medium","High"))</f>
        <v>High</v>
      </c>
    </row>
    <row r="66" spans="1:12" x14ac:dyDescent="0.3">
      <c r="A66">
        <v>65</v>
      </c>
      <c r="B66">
        <v>39.03</v>
      </c>
      <c r="C66" t="str">
        <f>IF(Table1[[#This Row],[Speed]]&lt;30,"Low",IF(Table1[[#This Row],[Speed]]&lt;60,"Medium","Fast"))</f>
        <v>Medium</v>
      </c>
      <c r="D66">
        <v>0.79</v>
      </c>
      <c r="E66" t="str">
        <f>IF(Table1[[#This Row],[Acceleration]]&gt;0,"Accelerating",IF(Table1[[#This Row],[Acceleration]]&lt;0,"Braking","Constant"))</f>
        <v>Accelerating</v>
      </c>
      <c r="F66">
        <v>71.72</v>
      </c>
      <c r="G66">
        <f>IF(ISBLANK(Table1[[#This Row],[Temperature]]),AVERAGE(Table1[Temperature]),Table1[[#This Row],[Temperature]])</f>
        <v>71.72</v>
      </c>
      <c r="H66">
        <f>IF(ISBLANK(Table1[[#This Row],[Temperature]]),"Unknown",Table1[[#This Row],[Temperature]])</f>
        <v>71.72</v>
      </c>
      <c r="I66" t="s">
        <v>1</v>
      </c>
      <c r="J66" t="str">
        <f>PROPER(Table1[[#This Row],[Engine Status]])</f>
        <v>Off</v>
      </c>
      <c r="K66">
        <v>49</v>
      </c>
      <c r="L66" t="str">
        <f>IF(Table1[[#This Row],[Battery Level]]&lt;30,"Low",IF(Table1[[#This Row],[Battery Level]]&lt;60,"Medium","High"))</f>
        <v>Medium</v>
      </c>
    </row>
    <row r="67" spans="1:12" x14ac:dyDescent="0.3">
      <c r="A67">
        <v>66</v>
      </c>
      <c r="B67">
        <v>108.12</v>
      </c>
      <c r="C67" t="str">
        <f>IF(Table1[[#This Row],[Speed]]&lt;30,"Low",IF(Table1[[#This Row],[Speed]]&lt;60,"Medium","Fast"))</f>
        <v>Fast</v>
      </c>
      <c r="D67">
        <v>-0.1</v>
      </c>
      <c r="E67" t="str">
        <f>IF(Table1[[#This Row],[Acceleration]]&gt;0,"Accelerating",IF(Table1[[#This Row],[Acceleration]]&lt;0,"Braking","Constant"))</f>
        <v>Braking</v>
      </c>
      <c r="F67">
        <v>22.27</v>
      </c>
      <c r="G67">
        <f>IF(ISBLANK(Table1[[#This Row],[Temperature]]),AVERAGE(Table1[Temperature]),Table1[[#This Row],[Temperature]])</f>
        <v>22.27</v>
      </c>
      <c r="H67">
        <f>IF(ISBLANK(Table1[[#This Row],[Temperature]]),"Unknown",Table1[[#This Row],[Temperature]])</f>
        <v>22.27</v>
      </c>
      <c r="I67" t="s">
        <v>0</v>
      </c>
      <c r="J67" t="str">
        <f>PROPER(Table1[[#This Row],[Engine Status]])</f>
        <v>On</v>
      </c>
      <c r="K67">
        <v>57</v>
      </c>
      <c r="L67" t="str">
        <f>IF(Table1[[#This Row],[Battery Level]]&lt;30,"Low",IF(Table1[[#This Row],[Battery Level]]&lt;60,"Medium","High"))</f>
        <v>Medium</v>
      </c>
    </row>
    <row r="68" spans="1:12" x14ac:dyDescent="0.3">
      <c r="A68">
        <v>67</v>
      </c>
      <c r="B68">
        <v>119.54</v>
      </c>
      <c r="C68" t="str">
        <f>IF(Table1[[#This Row],[Speed]]&lt;30,"Low",IF(Table1[[#This Row],[Speed]]&lt;60,"Medium","Fast"))</f>
        <v>Fast</v>
      </c>
      <c r="D68">
        <v>1.45</v>
      </c>
      <c r="E68" t="str">
        <f>IF(Table1[[#This Row],[Acceleration]]&gt;0,"Accelerating",IF(Table1[[#This Row],[Acceleration]]&lt;0,"Braking","Constant"))</f>
        <v>Accelerating</v>
      </c>
      <c r="F68">
        <v>66.11</v>
      </c>
      <c r="G68">
        <f>IF(ISBLANK(Table1[[#This Row],[Temperature]]),AVERAGE(Table1[Temperature]),Table1[[#This Row],[Temperature]])</f>
        <v>66.11</v>
      </c>
      <c r="H68">
        <f>IF(ISBLANK(Table1[[#This Row],[Temperature]]),"Unknown",Table1[[#This Row],[Temperature]])</f>
        <v>66.11</v>
      </c>
      <c r="I68" t="s">
        <v>0</v>
      </c>
      <c r="J68" t="str">
        <f>PROPER(Table1[[#This Row],[Engine Status]])</f>
        <v>On</v>
      </c>
      <c r="K68">
        <v>47</v>
      </c>
      <c r="L68" t="str">
        <f>IF(Table1[[#This Row],[Battery Level]]&lt;30,"Low",IF(Table1[[#This Row],[Battery Level]]&lt;60,"Medium","High"))</f>
        <v>Medium</v>
      </c>
    </row>
    <row r="69" spans="1:12" x14ac:dyDescent="0.3">
      <c r="A69">
        <v>68</v>
      </c>
      <c r="B69">
        <v>99.05</v>
      </c>
      <c r="C69" t="str">
        <f>IF(Table1[[#This Row],[Speed]]&lt;30,"Low",IF(Table1[[#This Row],[Speed]]&lt;60,"Medium","Fast"))</f>
        <v>Fast</v>
      </c>
      <c r="D69">
        <v>-2.7</v>
      </c>
      <c r="E69" t="str">
        <f>IF(Table1[[#This Row],[Acceleration]]&gt;0,"Accelerating",IF(Table1[[#This Row],[Acceleration]]&lt;0,"Braking","Constant"))</f>
        <v>Braking</v>
      </c>
      <c r="F69">
        <v>57.26</v>
      </c>
      <c r="G69">
        <f>IF(ISBLANK(Table1[[#This Row],[Temperature]]),AVERAGE(Table1[Temperature]),Table1[[#This Row],[Temperature]])</f>
        <v>57.26</v>
      </c>
      <c r="H69">
        <f>IF(ISBLANK(Table1[[#This Row],[Temperature]]),"Unknown",Table1[[#This Row],[Temperature]])</f>
        <v>57.26</v>
      </c>
      <c r="I69" t="s">
        <v>0</v>
      </c>
      <c r="J69" t="str">
        <f>PROPER(Table1[[#This Row],[Engine Status]])</f>
        <v>On</v>
      </c>
      <c r="K69">
        <v>44</v>
      </c>
      <c r="L69" t="str">
        <f>IF(Table1[[#This Row],[Battery Level]]&lt;30,"Low",IF(Table1[[#This Row],[Battery Level]]&lt;60,"Medium","High"))</f>
        <v>Medium</v>
      </c>
    </row>
    <row r="70" spans="1:12" x14ac:dyDescent="0.3">
      <c r="A70">
        <v>69</v>
      </c>
      <c r="B70">
        <v>101.38</v>
      </c>
      <c r="C70" t="str">
        <f>IF(Table1[[#This Row],[Speed]]&lt;30,"Low",IF(Table1[[#This Row],[Speed]]&lt;60,"Medium","Fast"))</f>
        <v>Fast</v>
      </c>
      <c r="D70">
        <v>0.53</v>
      </c>
      <c r="E70" t="str">
        <f>IF(Table1[[#This Row],[Acceleration]]&gt;0,"Accelerating",IF(Table1[[#This Row],[Acceleration]]&lt;0,"Braking","Constant"))</f>
        <v>Accelerating</v>
      </c>
      <c r="F70">
        <v>27.23</v>
      </c>
      <c r="G70">
        <f>IF(ISBLANK(Table1[[#This Row],[Temperature]]),AVERAGE(Table1[Temperature]),Table1[[#This Row],[Temperature]])</f>
        <v>27.23</v>
      </c>
      <c r="H70">
        <f>IF(ISBLANK(Table1[[#This Row],[Temperature]]),"Unknown",Table1[[#This Row],[Temperature]])</f>
        <v>27.23</v>
      </c>
      <c r="I70" t="s">
        <v>1</v>
      </c>
      <c r="J70" t="str">
        <f>PROPER(Table1[[#This Row],[Engine Status]])</f>
        <v>Off</v>
      </c>
      <c r="K70">
        <v>29</v>
      </c>
      <c r="L70" t="str">
        <f>IF(Table1[[#This Row],[Battery Level]]&lt;30,"Low",IF(Table1[[#This Row],[Battery Level]]&lt;60,"Medium","High"))</f>
        <v>Low</v>
      </c>
    </row>
    <row r="71" spans="1:12" x14ac:dyDescent="0.3">
      <c r="A71">
        <v>70</v>
      </c>
      <c r="B71">
        <v>29.88</v>
      </c>
      <c r="C71" t="str">
        <f>IF(Table1[[#This Row],[Speed]]&lt;30,"Low",IF(Table1[[#This Row],[Speed]]&lt;60,"Medium","Fast"))</f>
        <v>Low</v>
      </c>
      <c r="D71">
        <v>-1.28</v>
      </c>
      <c r="E71" t="str">
        <f>IF(Table1[[#This Row],[Acceleration]]&gt;0,"Accelerating",IF(Table1[[#This Row],[Acceleration]]&lt;0,"Braking","Constant"))</f>
        <v>Braking</v>
      </c>
      <c r="F71">
        <v>32.08</v>
      </c>
      <c r="G71">
        <f>IF(ISBLANK(Table1[[#This Row],[Temperature]]),AVERAGE(Table1[Temperature]),Table1[[#This Row],[Temperature]])</f>
        <v>32.08</v>
      </c>
      <c r="H71">
        <f>IF(ISBLANK(Table1[[#This Row],[Temperature]]),"Unknown",Table1[[#This Row],[Temperature]])</f>
        <v>32.08</v>
      </c>
      <c r="I71" t="s">
        <v>1</v>
      </c>
      <c r="J71" t="str">
        <f>PROPER(Table1[[#This Row],[Engine Status]])</f>
        <v>Off</v>
      </c>
      <c r="K71">
        <v>79</v>
      </c>
      <c r="L71" t="str">
        <f>IF(Table1[[#This Row],[Battery Level]]&lt;30,"Low",IF(Table1[[#This Row],[Battery Level]]&lt;60,"Medium","High"))</f>
        <v>High</v>
      </c>
    </row>
    <row r="72" spans="1:12" x14ac:dyDescent="0.3">
      <c r="A72">
        <v>71</v>
      </c>
      <c r="B72">
        <v>69.2</v>
      </c>
      <c r="C72" t="str">
        <f>IF(Table1[[#This Row],[Speed]]&lt;30,"Low",IF(Table1[[#This Row],[Speed]]&lt;60,"Medium","Fast"))</f>
        <v>Fast</v>
      </c>
      <c r="D72">
        <v>1.62</v>
      </c>
      <c r="E72" t="str">
        <f>IF(Table1[[#This Row],[Acceleration]]&gt;0,"Accelerating",IF(Table1[[#This Row],[Acceleration]]&lt;0,"Braking","Constant"))</f>
        <v>Accelerating</v>
      </c>
      <c r="G72">
        <f>IF(ISBLANK(Table1[[#This Row],[Temperature]]),AVERAGE(Table1[Temperature]),Table1[[#This Row],[Temperature]])</f>
        <v>56.31555555555552</v>
      </c>
      <c r="H72" t="str">
        <f>IF(ISBLANK(Table1[[#This Row],[Temperature]]),"Unknown",Table1[[#This Row],[Temperature]])</f>
        <v>Unknown</v>
      </c>
      <c r="I72" t="s">
        <v>1</v>
      </c>
      <c r="J72" t="str">
        <f>PROPER(Table1[[#This Row],[Engine Status]])</f>
        <v>Off</v>
      </c>
      <c r="K72">
        <v>61</v>
      </c>
      <c r="L72" t="str">
        <f>IF(Table1[[#This Row],[Battery Level]]&lt;30,"Low",IF(Table1[[#This Row],[Battery Level]]&lt;60,"Medium","High"))</f>
        <v>High</v>
      </c>
    </row>
    <row r="73" spans="1:12" x14ac:dyDescent="0.3">
      <c r="A73">
        <v>72</v>
      </c>
      <c r="B73">
        <v>8.07</v>
      </c>
      <c r="C73" t="str">
        <f>IF(Table1[[#This Row],[Speed]]&lt;30,"Low",IF(Table1[[#This Row],[Speed]]&lt;60,"Medium","Fast"))</f>
        <v>Low</v>
      </c>
      <c r="D73">
        <v>-3.59</v>
      </c>
      <c r="E73" t="str">
        <f>IF(Table1[[#This Row],[Acceleration]]&gt;0,"Accelerating",IF(Table1[[#This Row],[Acceleration]]&lt;0,"Braking","Constant"))</f>
        <v>Braking</v>
      </c>
      <c r="F73">
        <v>40.75</v>
      </c>
      <c r="G73">
        <f>IF(ISBLANK(Table1[[#This Row],[Temperature]]),AVERAGE(Table1[Temperature]),Table1[[#This Row],[Temperature]])</f>
        <v>40.75</v>
      </c>
      <c r="H73">
        <f>IF(ISBLANK(Table1[[#This Row],[Temperature]]),"Unknown",Table1[[#This Row],[Temperature]])</f>
        <v>40.75</v>
      </c>
      <c r="I73" t="s">
        <v>0</v>
      </c>
      <c r="J73" t="str">
        <f>PROPER(Table1[[#This Row],[Engine Status]])</f>
        <v>On</v>
      </c>
      <c r="K73">
        <v>59</v>
      </c>
      <c r="L73" t="str">
        <f>IF(Table1[[#This Row],[Battery Level]]&lt;30,"Low",IF(Table1[[#This Row],[Battery Level]]&lt;60,"Medium","High"))</f>
        <v>Medium</v>
      </c>
    </row>
    <row r="74" spans="1:12" x14ac:dyDescent="0.3">
      <c r="A74">
        <v>73</v>
      </c>
      <c r="B74">
        <v>11.39</v>
      </c>
      <c r="C74" t="str">
        <f>IF(Table1[[#This Row],[Speed]]&lt;30,"Low",IF(Table1[[#This Row],[Speed]]&lt;60,"Medium","Fast"))</f>
        <v>Low</v>
      </c>
      <c r="D74">
        <v>0.71</v>
      </c>
      <c r="E74" t="str">
        <f>IF(Table1[[#This Row],[Acceleration]]&gt;0,"Accelerating",IF(Table1[[#This Row],[Acceleration]]&lt;0,"Braking","Constant"))</f>
        <v>Accelerating</v>
      </c>
      <c r="F74">
        <v>85.68</v>
      </c>
      <c r="G74">
        <f>IF(ISBLANK(Table1[[#This Row],[Temperature]]),AVERAGE(Table1[Temperature]),Table1[[#This Row],[Temperature]])</f>
        <v>85.68</v>
      </c>
      <c r="H74">
        <f>IF(ISBLANK(Table1[[#This Row],[Temperature]]),"Unknown",Table1[[#This Row],[Temperature]])</f>
        <v>85.68</v>
      </c>
      <c r="I74" t="s">
        <v>1</v>
      </c>
      <c r="J74" t="str">
        <f>PROPER(Table1[[#This Row],[Engine Status]])</f>
        <v>Off</v>
      </c>
      <c r="K74">
        <v>96</v>
      </c>
      <c r="L74" t="str">
        <f>IF(Table1[[#This Row],[Battery Level]]&lt;30,"Low",IF(Table1[[#This Row],[Battery Level]]&lt;60,"Medium","High"))</f>
        <v>High</v>
      </c>
    </row>
    <row r="75" spans="1:12" x14ac:dyDescent="0.3">
      <c r="A75">
        <v>74</v>
      </c>
      <c r="B75">
        <v>119.87</v>
      </c>
      <c r="C75" t="str">
        <f>IF(Table1[[#This Row],[Speed]]&lt;30,"Low",IF(Table1[[#This Row],[Speed]]&lt;60,"Medium","Fast"))</f>
        <v>Fast</v>
      </c>
      <c r="D75">
        <v>-3.15</v>
      </c>
      <c r="E75" t="str">
        <f>IF(Table1[[#This Row],[Acceleration]]&gt;0,"Accelerating",IF(Table1[[#This Row],[Acceleration]]&lt;0,"Braking","Constant"))</f>
        <v>Braking</v>
      </c>
      <c r="F75">
        <v>77.31</v>
      </c>
      <c r="G75">
        <f>IF(ISBLANK(Table1[[#This Row],[Temperature]]),AVERAGE(Table1[Temperature]),Table1[[#This Row],[Temperature]])</f>
        <v>77.31</v>
      </c>
      <c r="H75">
        <f>IF(ISBLANK(Table1[[#This Row],[Temperature]]),"Unknown",Table1[[#This Row],[Temperature]])</f>
        <v>77.31</v>
      </c>
      <c r="I75" t="s">
        <v>0</v>
      </c>
      <c r="J75" t="str">
        <f>PROPER(Table1[[#This Row],[Engine Status]])</f>
        <v>On</v>
      </c>
      <c r="K75">
        <v>61</v>
      </c>
      <c r="L75" t="str">
        <f>IF(Table1[[#This Row],[Battery Level]]&lt;30,"Low",IF(Table1[[#This Row],[Battery Level]]&lt;60,"Medium","High"))</f>
        <v>High</v>
      </c>
    </row>
    <row r="76" spans="1:12" x14ac:dyDescent="0.3">
      <c r="A76">
        <v>75</v>
      </c>
      <c r="B76">
        <v>39.200000000000003</v>
      </c>
      <c r="C76" t="str">
        <f>IF(Table1[[#This Row],[Speed]]&lt;30,"Low",IF(Table1[[#This Row],[Speed]]&lt;60,"Medium","Fast"))</f>
        <v>Medium</v>
      </c>
      <c r="D76">
        <v>-2.21</v>
      </c>
      <c r="E76" t="str">
        <f>IF(Table1[[#This Row],[Acceleration]]&gt;0,"Accelerating",IF(Table1[[#This Row],[Acceleration]]&lt;0,"Braking","Constant"))</f>
        <v>Braking</v>
      </c>
      <c r="F76">
        <v>88.85</v>
      </c>
      <c r="G76">
        <f>IF(ISBLANK(Table1[[#This Row],[Temperature]]),AVERAGE(Table1[Temperature]),Table1[[#This Row],[Temperature]])</f>
        <v>88.85</v>
      </c>
      <c r="H76">
        <f>IF(ISBLANK(Table1[[#This Row],[Temperature]]),"Unknown",Table1[[#This Row],[Temperature]])</f>
        <v>88.85</v>
      </c>
      <c r="I76" t="s">
        <v>0</v>
      </c>
      <c r="J76" t="str">
        <f>PROPER(Table1[[#This Row],[Engine Status]])</f>
        <v>On</v>
      </c>
      <c r="K76">
        <v>66</v>
      </c>
      <c r="L76" t="str">
        <f>IF(Table1[[#This Row],[Battery Level]]&lt;30,"Low",IF(Table1[[#This Row],[Battery Level]]&lt;60,"Medium","High"))</f>
        <v>High</v>
      </c>
    </row>
    <row r="77" spans="1:12" x14ac:dyDescent="0.3">
      <c r="A77">
        <v>76</v>
      </c>
      <c r="B77">
        <v>89.78</v>
      </c>
      <c r="C77" t="str">
        <f>IF(Table1[[#This Row],[Speed]]&lt;30,"Low",IF(Table1[[#This Row],[Speed]]&lt;60,"Medium","Fast"))</f>
        <v>Fast</v>
      </c>
      <c r="D77">
        <v>-2.81</v>
      </c>
      <c r="E77" t="str">
        <f>IF(Table1[[#This Row],[Acceleration]]&gt;0,"Accelerating",IF(Table1[[#This Row],[Acceleration]]&lt;0,"Braking","Constant"))</f>
        <v>Braking</v>
      </c>
      <c r="F77">
        <v>38.18</v>
      </c>
      <c r="G77">
        <f>IF(ISBLANK(Table1[[#This Row],[Temperature]]),AVERAGE(Table1[Temperature]),Table1[[#This Row],[Temperature]])</f>
        <v>38.18</v>
      </c>
      <c r="H77">
        <f>IF(ISBLANK(Table1[[#This Row],[Temperature]]),"Unknown",Table1[[#This Row],[Temperature]])</f>
        <v>38.18</v>
      </c>
      <c r="I77" t="s">
        <v>0</v>
      </c>
      <c r="J77" t="str">
        <f>PROPER(Table1[[#This Row],[Engine Status]])</f>
        <v>On</v>
      </c>
      <c r="K77">
        <v>56</v>
      </c>
      <c r="L77" t="str">
        <f>IF(Table1[[#This Row],[Battery Level]]&lt;30,"Low",IF(Table1[[#This Row],[Battery Level]]&lt;60,"Medium","High"))</f>
        <v>Medium</v>
      </c>
    </row>
    <row r="78" spans="1:12" x14ac:dyDescent="0.3">
      <c r="A78">
        <v>77</v>
      </c>
      <c r="B78">
        <v>96.8</v>
      </c>
      <c r="C78" t="str">
        <f>IF(Table1[[#This Row],[Speed]]&lt;30,"Low",IF(Table1[[#This Row],[Speed]]&lt;60,"Medium","Fast"))</f>
        <v>Fast</v>
      </c>
      <c r="D78">
        <v>-3.17</v>
      </c>
      <c r="E78" t="str">
        <f>IF(Table1[[#This Row],[Acceleration]]&gt;0,"Accelerating",IF(Table1[[#This Row],[Acceleration]]&lt;0,"Braking","Constant"))</f>
        <v>Braking</v>
      </c>
      <c r="F78">
        <v>87.88</v>
      </c>
      <c r="G78">
        <f>IF(ISBLANK(Table1[[#This Row],[Temperature]]),AVERAGE(Table1[Temperature]),Table1[[#This Row],[Temperature]])</f>
        <v>87.88</v>
      </c>
      <c r="H78">
        <f>IF(ISBLANK(Table1[[#This Row],[Temperature]]),"Unknown",Table1[[#This Row],[Temperature]])</f>
        <v>87.88</v>
      </c>
      <c r="I78" t="s">
        <v>1</v>
      </c>
      <c r="J78" t="str">
        <f>PROPER(Table1[[#This Row],[Engine Status]])</f>
        <v>Off</v>
      </c>
      <c r="K78">
        <v>99</v>
      </c>
      <c r="L78" t="str">
        <f>IF(Table1[[#This Row],[Battery Level]]&lt;30,"Low",IF(Table1[[#This Row],[Battery Level]]&lt;60,"Medium","High"))</f>
        <v>High</v>
      </c>
    </row>
    <row r="79" spans="1:12" x14ac:dyDescent="0.3">
      <c r="A79">
        <v>78</v>
      </c>
      <c r="B79">
        <v>102.96</v>
      </c>
      <c r="C79" t="str">
        <f>IF(Table1[[#This Row],[Speed]]&lt;30,"Low",IF(Table1[[#This Row],[Speed]]&lt;60,"Medium","Fast"))</f>
        <v>Fast</v>
      </c>
      <c r="D79">
        <v>3.26</v>
      </c>
      <c r="E79" t="str">
        <f>IF(Table1[[#This Row],[Acceleration]]&gt;0,"Accelerating",IF(Table1[[#This Row],[Acceleration]]&lt;0,"Braking","Constant"))</f>
        <v>Accelerating</v>
      </c>
      <c r="F79">
        <v>50.19</v>
      </c>
      <c r="G79">
        <f>IF(ISBLANK(Table1[[#This Row],[Temperature]]),AVERAGE(Table1[Temperature]),Table1[[#This Row],[Temperature]])</f>
        <v>50.19</v>
      </c>
      <c r="H79">
        <f>IF(ISBLANK(Table1[[#This Row],[Temperature]]),"Unknown",Table1[[#This Row],[Temperature]])</f>
        <v>50.19</v>
      </c>
      <c r="I79" t="s">
        <v>1</v>
      </c>
      <c r="J79" t="str">
        <f>PROPER(Table1[[#This Row],[Engine Status]])</f>
        <v>Off</v>
      </c>
      <c r="K79">
        <v>41</v>
      </c>
      <c r="L79" t="str">
        <f>IF(Table1[[#This Row],[Battery Level]]&lt;30,"Low",IF(Table1[[#This Row],[Battery Level]]&lt;60,"Medium","High"))</f>
        <v>Medium</v>
      </c>
    </row>
    <row r="80" spans="1:12" x14ac:dyDescent="0.3">
      <c r="A80">
        <v>79</v>
      </c>
      <c r="B80">
        <v>119.72</v>
      </c>
      <c r="C80" t="str">
        <f>IF(Table1[[#This Row],[Speed]]&lt;30,"Low",IF(Table1[[#This Row],[Speed]]&lt;60,"Medium","Fast"))</f>
        <v>Fast</v>
      </c>
      <c r="D80">
        <v>-2.14</v>
      </c>
      <c r="E80" t="str">
        <f>IF(Table1[[#This Row],[Acceleration]]&gt;0,"Accelerating",IF(Table1[[#This Row],[Acceleration]]&lt;0,"Braking","Constant"))</f>
        <v>Braking</v>
      </c>
      <c r="F80">
        <v>44.33</v>
      </c>
      <c r="G80">
        <f>IF(ISBLANK(Table1[[#This Row],[Temperature]]),AVERAGE(Table1[Temperature]),Table1[[#This Row],[Temperature]])</f>
        <v>44.33</v>
      </c>
      <c r="H80">
        <f>IF(ISBLANK(Table1[[#This Row],[Temperature]]),"Unknown",Table1[[#This Row],[Temperature]])</f>
        <v>44.33</v>
      </c>
      <c r="I80" t="s">
        <v>1</v>
      </c>
      <c r="J80" t="str">
        <f>PROPER(Table1[[#This Row],[Engine Status]])</f>
        <v>Off</v>
      </c>
      <c r="K80">
        <v>76</v>
      </c>
      <c r="L80" t="str">
        <f>IF(Table1[[#This Row],[Battery Level]]&lt;30,"Low",IF(Table1[[#This Row],[Battery Level]]&lt;60,"Medium","High"))</f>
        <v>High</v>
      </c>
    </row>
    <row r="81" spans="1:12" x14ac:dyDescent="0.3">
      <c r="A81">
        <v>80</v>
      </c>
      <c r="B81">
        <v>28.98</v>
      </c>
      <c r="C81" t="str">
        <f>IF(Table1[[#This Row],[Speed]]&lt;30,"Low",IF(Table1[[#This Row],[Speed]]&lt;60,"Medium","Fast"))</f>
        <v>Low</v>
      </c>
      <c r="D81">
        <v>4.2699999999999996</v>
      </c>
      <c r="E81" t="str">
        <f>IF(Table1[[#This Row],[Acceleration]]&gt;0,"Accelerating",IF(Table1[[#This Row],[Acceleration]]&lt;0,"Braking","Constant"))</f>
        <v>Accelerating</v>
      </c>
      <c r="F81">
        <v>23.52</v>
      </c>
      <c r="G81">
        <f>IF(ISBLANK(Table1[[#This Row],[Temperature]]),AVERAGE(Table1[Temperature]),Table1[[#This Row],[Temperature]])</f>
        <v>23.52</v>
      </c>
      <c r="H81">
        <f>IF(ISBLANK(Table1[[#This Row],[Temperature]]),"Unknown",Table1[[#This Row],[Temperature]])</f>
        <v>23.52</v>
      </c>
      <c r="I81" t="s">
        <v>1</v>
      </c>
      <c r="J81" t="str">
        <f>PROPER(Table1[[#This Row],[Engine Status]])</f>
        <v>Off</v>
      </c>
      <c r="K81">
        <v>46</v>
      </c>
      <c r="L81" t="str">
        <f>IF(Table1[[#This Row],[Battery Level]]&lt;30,"Low",IF(Table1[[#This Row],[Battery Level]]&lt;60,"Medium","High"))</f>
        <v>Medium</v>
      </c>
    </row>
    <row r="82" spans="1:12" x14ac:dyDescent="0.3">
      <c r="A82">
        <v>81</v>
      </c>
      <c r="B82">
        <v>4.84</v>
      </c>
      <c r="C82" t="str">
        <f>IF(Table1[[#This Row],[Speed]]&lt;30,"Low",IF(Table1[[#This Row],[Speed]]&lt;60,"Medium","Fast"))</f>
        <v>Low</v>
      </c>
      <c r="D82">
        <v>4.7</v>
      </c>
      <c r="E82" t="str">
        <f>IF(Table1[[#This Row],[Acceleration]]&gt;0,"Accelerating",IF(Table1[[#This Row],[Acceleration]]&lt;0,"Braking","Constant"))</f>
        <v>Accelerating</v>
      </c>
      <c r="F82">
        <v>23.69</v>
      </c>
      <c r="G82">
        <f>IF(ISBLANK(Table1[[#This Row],[Temperature]]),AVERAGE(Table1[Temperature]),Table1[[#This Row],[Temperature]])</f>
        <v>23.69</v>
      </c>
      <c r="H82">
        <f>IF(ISBLANK(Table1[[#This Row],[Temperature]]),"Unknown",Table1[[#This Row],[Temperature]])</f>
        <v>23.69</v>
      </c>
      <c r="I82" t="s">
        <v>0</v>
      </c>
      <c r="J82" t="str">
        <f>PROPER(Table1[[#This Row],[Engine Status]])</f>
        <v>On</v>
      </c>
      <c r="K82">
        <v>60</v>
      </c>
      <c r="L82" t="str">
        <f>IF(Table1[[#This Row],[Battery Level]]&lt;30,"Low",IF(Table1[[#This Row],[Battery Level]]&lt;60,"Medium","High"))</f>
        <v>High</v>
      </c>
    </row>
    <row r="83" spans="1:12" x14ac:dyDescent="0.3">
      <c r="A83">
        <v>82</v>
      </c>
      <c r="B83">
        <v>49.34</v>
      </c>
      <c r="C83" t="str">
        <f>IF(Table1[[#This Row],[Speed]]&lt;30,"Low",IF(Table1[[#This Row],[Speed]]&lt;60,"Medium","Fast"))</f>
        <v>Medium</v>
      </c>
      <c r="D83">
        <v>0.71</v>
      </c>
      <c r="E83" t="str">
        <f>IF(Table1[[#This Row],[Acceleration]]&gt;0,"Accelerating",IF(Table1[[#This Row],[Acceleration]]&lt;0,"Braking","Constant"))</f>
        <v>Accelerating</v>
      </c>
      <c r="F83">
        <v>68.44</v>
      </c>
      <c r="G83">
        <f>IF(ISBLANK(Table1[[#This Row],[Temperature]]),AVERAGE(Table1[Temperature]),Table1[[#This Row],[Temperature]])</f>
        <v>68.44</v>
      </c>
      <c r="H83">
        <f>IF(ISBLANK(Table1[[#This Row],[Temperature]]),"Unknown",Table1[[#This Row],[Temperature]])</f>
        <v>68.44</v>
      </c>
      <c r="I83" t="s">
        <v>1</v>
      </c>
      <c r="J83" t="str">
        <f>PROPER(Table1[[#This Row],[Engine Status]])</f>
        <v>Off</v>
      </c>
      <c r="K83">
        <v>99</v>
      </c>
      <c r="L83" t="str">
        <f>IF(Table1[[#This Row],[Battery Level]]&lt;30,"Low",IF(Table1[[#This Row],[Battery Level]]&lt;60,"Medium","High"))</f>
        <v>High</v>
      </c>
    </row>
    <row r="84" spans="1:12" x14ac:dyDescent="0.3">
      <c r="A84">
        <v>83</v>
      </c>
      <c r="B84">
        <v>15.61</v>
      </c>
      <c r="C84" t="str">
        <f>IF(Table1[[#This Row],[Speed]]&lt;30,"Low",IF(Table1[[#This Row],[Speed]]&lt;60,"Medium","Fast"))</f>
        <v>Low</v>
      </c>
      <c r="D84">
        <v>-3.57</v>
      </c>
      <c r="E84" t="str">
        <f>IF(Table1[[#This Row],[Acceleration]]&gt;0,"Accelerating",IF(Table1[[#This Row],[Acceleration]]&lt;0,"Braking","Constant"))</f>
        <v>Braking</v>
      </c>
      <c r="F84">
        <v>52.06</v>
      </c>
      <c r="G84">
        <f>IF(ISBLANK(Table1[[#This Row],[Temperature]]),AVERAGE(Table1[Temperature]),Table1[[#This Row],[Temperature]])</f>
        <v>52.06</v>
      </c>
      <c r="H84">
        <f>IF(ISBLANK(Table1[[#This Row],[Temperature]]),"Unknown",Table1[[#This Row],[Temperature]])</f>
        <v>52.06</v>
      </c>
      <c r="I84" t="s">
        <v>0</v>
      </c>
      <c r="J84" t="str">
        <f>PROPER(Table1[[#This Row],[Engine Status]])</f>
        <v>On</v>
      </c>
      <c r="K84">
        <v>53</v>
      </c>
      <c r="L84" t="str">
        <f>IF(Table1[[#This Row],[Battery Level]]&lt;30,"Low",IF(Table1[[#This Row],[Battery Level]]&lt;60,"Medium","High"))</f>
        <v>Medium</v>
      </c>
    </row>
    <row r="85" spans="1:12" x14ac:dyDescent="0.3">
      <c r="A85">
        <v>84</v>
      </c>
      <c r="B85">
        <v>2.69</v>
      </c>
      <c r="C85" t="str">
        <f>IF(Table1[[#This Row],[Speed]]&lt;30,"Low",IF(Table1[[#This Row],[Speed]]&lt;60,"Medium","Fast"))</f>
        <v>Low</v>
      </c>
      <c r="D85">
        <v>-1.25</v>
      </c>
      <c r="E85" t="str">
        <f>IF(Table1[[#This Row],[Acceleration]]&gt;0,"Accelerating",IF(Table1[[#This Row],[Acceleration]]&lt;0,"Braking","Constant"))</f>
        <v>Braking</v>
      </c>
      <c r="G85">
        <f>IF(ISBLANK(Table1[[#This Row],[Temperature]]),AVERAGE(Table1[Temperature]),Table1[[#This Row],[Temperature]])</f>
        <v>56.31555555555552</v>
      </c>
      <c r="H85" t="str">
        <f>IF(ISBLANK(Table1[[#This Row],[Temperature]]),"Unknown",Table1[[#This Row],[Temperature]])</f>
        <v>Unknown</v>
      </c>
      <c r="I85" t="s">
        <v>1</v>
      </c>
      <c r="J85" t="str">
        <f>PROPER(Table1[[#This Row],[Engine Status]])</f>
        <v>Off</v>
      </c>
      <c r="K85">
        <v>51</v>
      </c>
      <c r="L85" t="str">
        <f>IF(Table1[[#This Row],[Battery Level]]&lt;30,"Low",IF(Table1[[#This Row],[Battery Level]]&lt;60,"Medium","High"))</f>
        <v>Medium</v>
      </c>
    </row>
    <row r="86" spans="1:12" x14ac:dyDescent="0.3">
      <c r="A86">
        <v>85</v>
      </c>
      <c r="B86">
        <v>43.25</v>
      </c>
      <c r="C86" t="str">
        <f>IF(Table1[[#This Row],[Speed]]&lt;30,"Low",IF(Table1[[#This Row],[Speed]]&lt;60,"Medium","Fast"))</f>
        <v>Medium</v>
      </c>
      <c r="D86">
        <v>2.98</v>
      </c>
      <c r="E86" t="str">
        <f>IF(Table1[[#This Row],[Acceleration]]&gt;0,"Accelerating",IF(Table1[[#This Row],[Acceleration]]&lt;0,"Braking","Constant"))</f>
        <v>Accelerating</v>
      </c>
      <c r="F86">
        <v>62.98</v>
      </c>
      <c r="G86">
        <f>IF(ISBLANK(Table1[[#This Row],[Temperature]]),AVERAGE(Table1[Temperature]),Table1[[#This Row],[Temperature]])</f>
        <v>62.98</v>
      </c>
      <c r="H86">
        <f>IF(ISBLANK(Table1[[#This Row],[Temperature]]),"Unknown",Table1[[#This Row],[Temperature]])</f>
        <v>62.98</v>
      </c>
      <c r="I86" t="s">
        <v>1</v>
      </c>
      <c r="J86" t="str">
        <f>PROPER(Table1[[#This Row],[Engine Status]])</f>
        <v>Off</v>
      </c>
      <c r="K86">
        <v>85</v>
      </c>
      <c r="L86" t="str">
        <f>IF(Table1[[#This Row],[Battery Level]]&lt;30,"Low",IF(Table1[[#This Row],[Battery Level]]&lt;60,"Medium","High"))</f>
        <v>High</v>
      </c>
    </row>
    <row r="87" spans="1:12" x14ac:dyDescent="0.3">
      <c r="A87">
        <v>86</v>
      </c>
      <c r="B87">
        <v>94.05</v>
      </c>
      <c r="C87" t="str">
        <f>IF(Table1[[#This Row],[Speed]]&lt;30,"Low",IF(Table1[[#This Row],[Speed]]&lt;60,"Medium","Fast"))</f>
        <v>Fast</v>
      </c>
      <c r="D87">
        <v>-1.33</v>
      </c>
      <c r="E87" t="str">
        <f>IF(Table1[[#This Row],[Acceleration]]&gt;0,"Accelerating",IF(Table1[[#This Row],[Acceleration]]&lt;0,"Braking","Constant"))</f>
        <v>Braking</v>
      </c>
      <c r="F87">
        <v>37.700000000000003</v>
      </c>
      <c r="G87">
        <f>IF(ISBLANK(Table1[[#This Row],[Temperature]]),AVERAGE(Table1[Temperature]),Table1[[#This Row],[Temperature]])</f>
        <v>37.700000000000003</v>
      </c>
      <c r="H87">
        <f>IF(ISBLANK(Table1[[#This Row],[Temperature]]),"Unknown",Table1[[#This Row],[Temperature]])</f>
        <v>37.700000000000003</v>
      </c>
      <c r="I87" t="s">
        <v>1</v>
      </c>
      <c r="J87" t="str">
        <f>PROPER(Table1[[#This Row],[Engine Status]])</f>
        <v>Off</v>
      </c>
      <c r="K87">
        <v>31</v>
      </c>
      <c r="L87" t="str">
        <f>IF(Table1[[#This Row],[Battery Level]]&lt;30,"Low",IF(Table1[[#This Row],[Battery Level]]&lt;60,"Medium","High"))</f>
        <v>Medium</v>
      </c>
    </row>
    <row r="88" spans="1:12" x14ac:dyDescent="0.3">
      <c r="A88">
        <v>87</v>
      </c>
      <c r="B88">
        <v>67.94</v>
      </c>
      <c r="C88" t="str">
        <f>IF(Table1[[#This Row],[Speed]]&lt;30,"Low",IF(Table1[[#This Row],[Speed]]&lt;60,"Medium","Fast"))</f>
        <v>Fast</v>
      </c>
      <c r="D88">
        <v>-4.13</v>
      </c>
      <c r="E88" t="str">
        <f>IF(Table1[[#This Row],[Acceleration]]&gt;0,"Accelerating",IF(Table1[[#This Row],[Acceleration]]&lt;0,"Braking","Constant"))</f>
        <v>Braking</v>
      </c>
      <c r="F88">
        <v>60.43</v>
      </c>
      <c r="G88">
        <f>IF(ISBLANK(Table1[[#This Row],[Temperature]]),AVERAGE(Table1[Temperature]),Table1[[#This Row],[Temperature]])</f>
        <v>60.43</v>
      </c>
      <c r="H88">
        <f>IF(ISBLANK(Table1[[#This Row],[Temperature]]),"Unknown",Table1[[#This Row],[Temperature]])</f>
        <v>60.43</v>
      </c>
      <c r="I88" t="s">
        <v>0</v>
      </c>
      <c r="J88" t="str">
        <f>PROPER(Table1[[#This Row],[Engine Status]])</f>
        <v>On</v>
      </c>
      <c r="K88">
        <v>59</v>
      </c>
      <c r="L88" t="str">
        <f>IF(Table1[[#This Row],[Battery Level]]&lt;30,"Low",IF(Table1[[#This Row],[Battery Level]]&lt;60,"Medium","High"))</f>
        <v>Medium</v>
      </c>
    </row>
    <row r="89" spans="1:12" x14ac:dyDescent="0.3">
      <c r="A89">
        <v>88</v>
      </c>
      <c r="B89">
        <v>37.53</v>
      </c>
      <c r="C89" t="str">
        <f>IF(Table1[[#This Row],[Speed]]&lt;30,"Low",IF(Table1[[#This Row],[Speed]]&lt;60,"Medium","Fast"))</f>
        <v>Medium</v>
      </c>
      <c r="D89">
        <v>0.56999999999999995</v>
      </c>
      <c r="E89" t="str">
        <f>IF(Table1[[#This Row],[Acceleration]]&gt;0,"Accelerating",IF(Table1[[#This Row],[Acceleration]]&lt;0,"Braking","Constant"))</f>
        <v>Accelerating</v>
      </c>
      <c r="F89">
        <v>45.14</v>
      </c>
      <c r="G89">
        <f>IF(ISBLANK(Table1[[#This Row],[Temperature]]),AVERAGE(Table1[Temperature]),Table1[[#This Row],[Temperature]])</f>
        <v>45.14</v>
      </c>
      <c r="H89">
        <f>IF(ISBLANK(Table1[[#This Row],[Temperature]]),"Unknown",Table1[[#This Row],[Temperature]])</f>
        <v>45.14</v>
      </c>
      <c r="I89" t="s">
        <v>0</v>
      </c>
      <c r="J89" t="str">
        <f>PROPER(Table1[[#This Row],[Engine Status]])</f>
        <v>On</v>
      </c>
      <c r="K89">
        <v>92</v>
      </c>
      <c r="L89" t="str">
        <f>IF(Table1[[#This Row],[Battery Level]]&lt;30,"Low",IF(Table1[[#This Row],[Battery Level]]&lt;60,"Medium","High"))</f>
        <v>High</v>
      </c>
    </row>
    <row r="90" spans="1:12" x14ac:dyDescent="0.3">
      <c r="A90">
        <v>89</v>
      </c>
      <c r="B90">
        <v>78.52</v>
      </c>
      <c r="C90" t="str">
        <f>IF(Table1[[#This Row],[Speed]]&lt;30,"Low",IF(Table1[[#This Row],[Speed]]&lt;60,"Medium","Fast"))</f>
        <v>Fast</v>
      </c>
      <c r="D90">
        <v>3.45</v>
      </c>
      <c r="E90" t="str">
        <f>IF(Table1[[#This Row],[Acceleration]]&gt;0,"Accelerating",IF(Table1[[#This Row],[Acceleration]]&lt;0,"Braking","Constant"))</f>
        <v>Accelerating</v>
      </c>
      <c r="F90">
        <v>77.650000000000006</v>
      </c>
      <c r="G90">
        <f>IF(ISBLANK(Table1[[#This Row],[Temperature]]),AVERAGE(Table1[Temperature]),Table1[[#This Row],[Temperature]])</f>
        <v>77.650000000000006</v>
      </c>
      <c r="H90">
        <f>IF(ISBLANK(Table1[[#This Row],[Temperature]]),"Unknown",Table1[[#This Row],[Temperature]])</f>
        <v>77.650000000000006</v>
      </c>
      <c r="I90" t="s">
        <v>0</v>
      </c>
      <c r="J90" t="str">
        <f>PROPER(Table1[[#This Row],[Engine Status]])</f>
        <v>On</v>
      </c>
      <c r="K90">
        <v>95</v>
      </c>
      <c r="L90" t="str">
        <f>IF(Table1[[#This Row],[Battery Level]]&lt;30,"Low",IF(Table1[[#This Row],[Battery Level]]&lt;60,"Medium","High"))</f>
        <v>High</v>
      </c>
    </row>
    <row r="91" spans="1:12" x14ac:dyDescent="0.3">
      <c r="A91">
        <v>90</v>
      </c>
      <c r="B91">
        <v>27.84</v>
      </c>
      <c r="C91" t="str">
        <f>IF(Table1[[#This Row],[Speed]]&lt;30,"Low",IF(Table1[[#This Row],[Speed]]&lt;60,"Medium","Fast"))</f>
        <v>Low</v>
      </c>
      <c r="D91">
        <v>2.96</v>
      </c>
      <c r="E91" t="str">
        <f>IF(Table1[[#This Row],[Acceleration]]&gt;0,"Accelerating",IF(Table1[[#This Row],[Acceleration]]&lt;0,"Braking","Constant"))</f>
        <v>Accelerating</v>
      </c>
      <c r="F91">
        <v>77.45</v>
      </c>
      <c r="G91">
        <f>IF(ISBLANK(Table1[[#This Row],[Temperature]]),AVERAGE(Table1[Temperature]),Table1[[#This Row],[Temperature]])</f>
        <v>77.45</v>
      </c>
      <c r="H91">
        <f>IF(ISBLANK(Table1[[#This Row],[Temperature]]),"Unknown",Table1[[#This Row],[Temperature]])</f>
        <v>77.45</v>
      </c>
      <c r="I91" t="s">
        <v>0</v>
      </c>
      <c r="J91" t="str">
        <f>PROPER(Table1[[#This Row],[Engine Status]])</f>
        <v>On</v>
      </c>
      <c r="K91">
        <v>92</v>
      </c>
      <c r="L91" t="str">
        <f>IF(Table1[[#This Row],[Battery Level]]&lt;30,"Low",IF(Table1[[#This Row],[Battery Level]]&lt;60,"Medium","High"))</f>
        <v>High</v>
      </c>
    </row>
    <row r="92" spans="1:12" x14ac:dyDescent="0.3">
      <c r="A92">
        <v>91</v>
      </c>
      <c r="B92">
        <v>1.73</v>
      </c>
      <c r="C92" t="str">
        <f>IF(Table1[[#This Row],[Speed]]&lt;30,"Low",IF(Table1[[#This Row],[Speed]]&lt;60,"Medium","Fast"))</f>
        <v>Low</v>
      </c>
      <c r="D92">
        <v>-3.25</v>
      </c>
      <c r="E92" t="str">
        <f>IF(Table1[[#This Row],[Acceleration]]&gt;0,"Accelerating",IF(Table1[[#This Row],[Acceleration]]&lt;0,"Braking","Constant"))</f>
        <v>Braking</v>
      </c>
      <c r="G92">
        <f>IF(ISBLANK(Table1[[#This Row],[Temperature]]),AVERAGE(Table1[Temperature]),Table1[[#This Row],[Temperature]])</f>
        <v>56.31555555555552</v>
      </c>
      <c r="H92" t="str">
        <f>IF(ISBLANK(Table1[[#This Row],[Temperature]]),"Unknown",Table1[[#This Row],[Temperature]])</f>
        <v>Unknown</v>
      </c>
      <c r="I92" t="s">
        <v>0</v>
      </c>
      <c r="J92" t="str">
        <f>PROPER(Table1[[#This Row],[Engine Status]])</f>
        <v>On</v>
      </c>
      <c r="K92">
        <v>29</v>
      </c>
      <c r="L92" t="str">
        <f>IF(Table1[[#This Row],[Battery Level]]&lt;30,"Low",IF(Table1[[#This Row],[Battery Level]]&lt;60,"Medium","High"))</f>
        <v>Low</v>
      </c>
    </row>
    <row r="93" spans="1:12" x14ac:dyDescent="0.3">
      <c r="A93">
        <v>92</v>
      </c>
      <c r="B93">
        <v>91.72</v>
      </c>
      <c r="C93" t="str">
        <f>IF(Table1[[#This Row],[Speed]]&lt;30,"Low",IF(Table1[[#This Row],[Speed]]&lt;60,"Medium","Fast"))</f>
        <v>Fast</v>
      </c>
      <c r="D93">
        <v>1.73</v>
      </c>
      <c r="E93" t="str">
        <f>IF(Table1[[#This Row],[Acceleration]]&gt;0,"Accelerating",IF(Table1[[#This Row],[Acceleration]]&lt;0,"Braking","Constant"))</f>
        <v>Accelerating</v>
      </c>
      <c r="F93">
        <v>44.56</v>
      </c>
      <c r="G93">
        <f>IF(ISBLANK(Table1[[#This Row],[Temperature]]),AVERAGE(Table1[Temperature]),Table1[[#This Row],[Temperature]])</f>
        <v>44.56</v>
      </c>
      <c r="H93">
        <f>IF(ISBLANK(Table1[[#This Row],[Temperature]]),"Unknown",Table1[[#This Row],[Temperature]])</f>
        <v>44.56</v>
      </c>
      <c r="I93" t="s">
        <v>1</v>
      </c>
      <c r="J93" t="str">
        <f>PROPER(Table1[[#This Row],[Engine Status]])</f>
        <v>Off</v>
      </c>
      <c r="K93">
        <v>67</v>
      </c>
      <c r="L93" t="str">
        <f>IF(Table1[[#This Row],[Battery Level]]&lt;30,"Low",IF(Table1[[#This Row],[Battery Level]]&lt;60,"Medium","High"))</f>
        <v>High</v>
      </c>
    </row>
    <row r="94" spans="1:12" x14ac:dyDescent="0.3">
      <c r="A94">
        <v>93</v>
      </c>
      <c r="B94">
        <v>74.849999999999994</v>
      </c>
      <c r="C94" t="str">
        <f>IF(Table1[[#This Row],[Speed]]&lt;30,"Low",IF(Table1[[#This Row],[Speed]]&lt;60,"Medium","Fast"))</f>
        <v>Fast</v>
      </c>
      <c r="D94">
        <v>-2.79</v>
      </c>
      <c r="E94" t="str">
        <f>IF(Table1[[#This Row],[Acceleration]]&gt;0,"Accelerating",IF(Table1[[#This Row],[Acceleration]]&lt;0,"Braking","Constant"))</f>
        <v>Braking</v>
      </c>
      <c r="G94">
        <f>IF(ISBLANK(Table1[[#This Row],[Temperature]]),AVERAGE(Table1[Temperature]),Table1[[#This Row],[Temperature]])</f>
        <v>56.31555555555552</v>
      </c>
      <c r="H94" t="str">
        <f>IF(ISBLANK(Table1[[#This Row],[Temperature]]),"Unknown",Table1[[#This Row],[Temperature]])</f>
        <v>Unknown</v>
      </c>
      <c r="I94" t="s">
        <v>0</v>
      </c>
      <c r="J94" t="str">
        <f>PROPER(Table1[[#This Row],[Engine Status]])</f>
        <v>On</v>
      </c>
      <c r="K94">
        <v>39</v>
      </c>
      <c r="L94" t="str">
        <f>IF(Table1[[#This Row],[Battery Level]]&lt;30,"Low",IF(Table1[[#This Row],[Battery Level]]&lt;60,"Medium","High"))</f>
        <v>Medium</v>
      </c>
    </row>
    <row r="95" spans="1:12" x14ac:dyDescent="0.3">
      <c r="A95">
        <v>94</v>
      </c>
      <c r="B95">
        <v>91.48</v>
      </c>
      <c r="C95" t="str">
        <f>IF(Table1[[#This Row],[Speed]]&lt;30,"Low",IF(Table1[[#This Row],[Speed]]&lt;60,"Medium","Fast"))</f>
        <v>Fast</v>
      </c>
      <c r="D95">
        <v>-2.82</v>
      </c>
      <c r="E95" t="str">
        <f>IF(Table1[[#This Row],[Acceleration]]&gt;0,"Accelerating",IF(Table1[[#This Row],[Acceleration]]&lt;0,"Braking","Constant"))</f>
        <v>Braking</v>
      </c>
      <c r="F95">
        <v>76.400000000000006</v>
      </c>
      <c r="G95">
        <f>IF(ISBLANK(Table1[[#This Row],[Temperature]]),AVERAGE(Table1[Temperature]),Table1[[#This Row],[Temperature]])</f>
        <v>76.400000000000006</v>
      </c>
      <c r="H95">
        <f>IF(ISBLANK(Table1[[#This Row],[Temperature]]),"Unknown",Table1[[#This Row],[Temperature]])</f>
        <v>76.400000000000006</v>
      </c>
      <c r="I95" t="s">
        <v>0</v>
      </c>
      <c r="J95" t="str">
        <f>PROPER(Table1[[#This Row],[Engine Status]])</f>
        <v>On</v>
      </c>
      <c r="K95">
        <v>58</v>
      </c>
      <c r="L95" t="str">
        <f>IF(Table1[[#This Row],[Battery Level]]&lt;30,"Low",IF(Table1[[#This Row],[Battery Level]]&lt;60,"Medium","High"))</f>
        <v>Medium</v>
      </c>
    </row>
    <row r="96" spans="1:12" x14ac:dyDescent="0.3">
      <c r="A96">
        <v>95</v>
      </c>
      <c r="B96">
        <v>4.67</v>
      </c>
      <c r="C96" t="str">
        <f>IF(Table1[[#This Row],[Speed]]&lt;30,"Low",IF(Table1[[#This Row],[Speed]]&lt;60,"Medium","Fast"))</f>
        <v>Low</v>
      </c>
      <c r="D96">
        <v>3.74</v>
      </c>
      <c r="E96" t="str">
        <f>IF(Table1[[#This Row],[Acceleration]]&gt;0,"Accelerating",IF(Table1[[#This Row],[Acceleration]]&lt;0,"Braking","Constant"))</f>
        <v>Accelerating</v>
      </c>
      <c r="F96">
        <v>42.97</v>
      </c>
      <c r="G96">
        <f>IF(ISBLANK(Table1[[#This Row],[Temperature]]),AVERAGE(Table1[Temperature]),Table1[[#This Row],[Temperature]])</f>
        <v>42.97</v>
      </c>
      <c r="H96">
        <f>IF(ISBLANK(Table1[[#This Row],[Temperature]]),"Unknown",Table1[[#This Row],[Temperature]])</f>
        <v>42.97</v>
      </c>
      <c r="I96" t="s">
        <v>0</v>
      </c>
      <c r="J96" t="str">
        <f>PROPER(Table1[[#This Row],[Engine Status]])</f>
        <v>On</v>
      </c>
      <c r="K96">
        <v>79</v>
      </c>
      <c r="L96" t="str">
        <f>IF(Table1[[#This Row],[Battery Level]]&lt;30,"Low",IF(Table1[[#This Row],[Battery Level]]&lt;60,"Medium","High"))</f>
        <v>High</v>
      </c>
    </row>
    <row r="97" spans="1:12" x14ac:dyDescent="0.3">
      <c r="A97">
        <v>96</v>
      </c>
      <c r="B97">
        <v>100.45</v>
      </c>
      <c r="C97" t="str">
        <f>IF(Table1[[#This Row],[Speed]]&lt;30,"Low",IF(Table1[[#This Row],[Speed]]&lt;60,"Medium","Fast"))</f>
        <v>Fast</v>
      </c>
      <c r="D97">
        <v>-2.5</v>
      </c>
      <c r="E97" t="str">
        <f>IF(Table1[[#This Row],[Acceleration]]&gt;0,"Accelerating",IF(Table1[[#This Row],[Acceleration]]&lt;0,"Braking","Constant"))</f>
        <v>Braking</v>
      </c>
      <c r="F97">
        <v>34.630000000000003</v>
      </c>
      <c r="G97">
        <f>IF(ISBLANK(Table1[[#This Row],[Temperature]]),AVERAGE(Table1[Temperature]),Table1[[#This Row],[Temperature]])</f>
        <v>34.630000000000003</v>
      </c>
      <c r="H97">
        <f>IF(ISBLANK(Table1[[#This Row],[Temperature]]),"Unknown",Table1[[#This Row],[Temperature]])</f>
        <v>34.630000000000003</v>
      </c>
      <c r="I97" t="s">
        <v>0</v>
      </c>
      <c r="J97" t="str">
        <f>PROPER(Table1[[#This Row],[Engine Status]])</f>
        <v>On</v>
      </c>
      <c r="K97">
        <v>85</v>
      </c>
      <c r="L97" t="str">
        <f>IF(Table1[[#This Row],[Battery Level]]&lt;30,"Low",IF(Table1[[#This Row],[Battery Level]]&lt;60,"Medium","High"))</f>
        <v>High</v>
      </c>
    </row>
    <row r="98" spans="1:12" x14ac:dyDescent="0.3">
      <c r="A98">
        <v>97</v>
      </c>
      <c r="B98">
        <v>74.34</v>
      </c>
      <c r="C98" t="str">
        <f>IF(Table1[[#This Row],[Speed]]&lt;30,"Low",IF(Table1[[#This Row],[Speed]]&lt;60,"Medium","Fast"))</f>
        <v>Fast</v>
      </c>
      <c r="D98">
        <v>-2.37</v>
      </c>
      <c r="E98" t="str">
        <f>IF(Table1[[#This Row],[Acceleration]]&gt;0,"Accelerating",IF(Table1[[#This Row],[Acceleration]]&lt;0,"Braking","Constant"))</f>
        <v>Braking</v>
      </c>
      <c r="F98">
        <v>25.93</v>
      </c>
      <c r="G98">
        <f>IF(ISBLANK(Table1[[#This Row],[Temperature]]),AVERAGE(Table1[Temperature]),Table1[[#This Row],[Temperature]])</f>
        <v>25.93</v>
      </c>
      <c r="H98">
        <f>IF(ISBLANK(Table1[[#This Row],[Temperature]]),"Unknown",Table1[[#This Row],[Temperature]])</f>
        <v>25.93</v>
      </c>
      <c r="I98" t="s">
        <v>1</v>
      </c>
      <c r="J98" t="str">
        <f>PROPER(Table1[[#This Row],[Engine Status]])</f>
        <v>Off</v>
      </c>
      <c r="K98">
        <v>84</v>
      </c>
      <c r="L98" t="str">
        <f>IF(Table1[[#This Row],[Battery Level]]&lt;30,"Low",IF(Table1[[#This Row],[Battery Level]]&lt;60,"Medium","High"))</f>
        <v>High</v>
      </c>
    </row>
    <row r="99" spans="1:12" x14ac:dyDescent="0.3">
      <c r="A99">
        <v>98</v>
      </c>
      <c r="B99">
        <v>67.61</v>
      </c>
      <c r="C99" t="str">
        <f>IF(Table1[[#This Row],[Speed]]&lt;30,"Low",IF(Table1[[#This Row],[Speed]]&lt;60,"Medium","Fast"))</f>
        <v>Fast</v>
      </c>
      <c r="D99">
        <v>-4.99</v>
      </c>
      <c r="E99" t="str">
        <f>IF(Table1[[#This Row],[Acceleration]]&gt;0,"Accelerating",IF(Table1[[#This Row],[Acceleration]]&lt;0,"Braking","Constant"))</f>
        <v>Braking</v>
      </c>
      <c r="F99">
        <v>52.67</v>
      </c>
      <c r="G99">
        <f>IF(ISBLANK(Table1[[#This Row],[Temperature]]),AVERAGE(Table1[Temperature]),Table1[[#This Row],[Temperature]])</f>
        <v>52.67</v>
      </c>
      <c r="H99">
        <f>IF(ISBLANK(Table1[[#This Row],[Temperature]]),"Unknown",Table1[[#This Row],[Temperature]])</f>
        <v>52.67</v>
      </c>
      <c r="I99" t="s">
        <v>0</v>
      </c>
      <c r="J99" t="str">
        <f>PROPER(Table1[[#This Row],[Engine Status]])</f>
        <v>On</v>
      </c>
      <c r="K99">
        <v>70</v>
      </c>
      <c r="L99" t="str">
        <f>IF(Table1[[#This Row],[Battery Level]]&lt;30,"Low",IF(Table1[[#This Row],[Battery Level]]&lt;60,"Medium","High"))</f>
        <v>High</v>
      </c>
    </row>
    <row r="100" spans="1:12" x14ac:dyDescent="0.3">
      <c r="A100">
        <v>99</v>
      </c>
      <c r="B100">
        <v>74.95</v>
      </c>
      <c r="C100" t="str">
        <f>IF(Table1[[#This Row],[Speed]]&lt;30,"Low",IF(Table1[[#This Row],[Speed]]&lt;60,"Medium","Fast"))</f>
        <v>Fast</v>
      </c>
      <c r="D100">
        <v>3.71</v>
      </c>
      <c r="E100" t="str">
        <f>IF(Table1[[#This Row],[Acceleration]]&gt;0,"Accelerating",IF(Table1[[#This Row],[Acceleration]]&lt;0,"Braking","Constant"))</f>
        <v>Accelerating</v>
      </c>
      <c r="F100">
        <v>53.75</v>
      </c>
      <c r="G100">
        <f>IF(ISBLANK(Table1[[#This Row],[Temperature]]),AVERAGE(Table1[Temperature]),Table1[[#This Row],[Temperature]])</f>
        <v>53.75</v>
      </c>
      <c r="H100">
        <f>IF(ISBLANK(Table1[[#This Row],[Temperature]]),"Unknown",Table1[[#This Row],[Temperature]])</f>
        <v>53.75</v>
      </c>
      <c r="I100" t="s">
        <v>1</v>
      </c>
      <c r="J100" t="str">
        <f>PROPER(Table1[[#This Row],[Engine Status]])</f>
        <v>Off</v>
      </c>
      <c r="K100">
        <v>55</v>
      </c>
      <c r="L100" t="str">
        <f>IF(Table1[[#This Row],[Battery Level]]&lt;30,"Low",IF(Table1[[#This Row],[Battery Level]]&lt;60,"Medium","High"))</f>
        <v>Medium</v>
      </c>
    </row>
    <row r="101" spans="1:12" x14ac:dyDescent="0.3">
      <c r="A101">
        <v>100</v>
      </c>
      <c r="B101">
        <v>103.73</v>
      </c>
      <c r="C101" t="str">
        <f>IF(Table1[[#This Row],[Speed]]&lt;30,"Low",IF(Table1[[#This Row],[Speed]]&lt;60,"Medium","Fast"))</f>
        <v>Fast</v>
      </c>
      <c r="D101">
        <v>2.93</v>
      </c>
      <c r="E101" t="str">
        <f>IF(Table1[[#This Row],[Acceleration]]&gt;0,"Accelerating",IF(Table1[[#This Row],[Acceleration]]&lt;0,"Braking","Constant"))</f>
        <v>Accelerating</v>
      </c>
      <c r="F101">
        <v>78.86</v>
      </c>
      <c r="G101">
        <f>IF(ISBLANK(Table1[[#This Row],[Temperature]]),AVERAGE(Table1[Temperature]),Table1[[#This Row],[Temperature]])</f>
        <v>78.86</v>
      </c>
      <c r="H101">
        <f>IF(ISBLANK(Table1[[#This Row],[Temperature]]),"Unknown",Table1[[#This Row],[Temperature]])</f>
        <v>78.86</v>
      </c>
      <c r="I101" t="s">
        <v>1</v>
      </c>
      <c r="J101" t="str">
        <f>PROPER(Table1[[#This Row],[Engine Status]])</f>
        <v>Off</v>
      </c>
      <c r="K101">
        <v>43</v>
      </c>
      <c r="L101" t="str">
        <f>IF(Table1[[#This Row],[Battery Level]]&lt;30,"Low",IF(Table1[[#This Row],[Battery Level]]&lt;60,"Medium","High"))</f>
        <v>Medium</v>
      </c>
    </row>
    <row r="102" spans="1:12" x14ac:dyDescent="0.3">
      <c r="A102">
        <v>101</v>
      </c>
      <c r="B102">
        <v>70.430000000000007</v>
      </c>
      <c r="C102" t="str">
        <f>IF(Table1[[#This Row],[Speed]]&lt;30,"Low",IF(Table1[[#This Row],[Speed]]&lt;60,"Medium","Fast"))</f>
        <v>Fast</v>
      </c>
      <c r="D102">
        <v>1.27</v>
      </c>
      <c r="E102" t="str">
        <f>IF(Table1[[#This Row],[Acceleration]]&gt;0,"Accelerating",IF(Table1[[#This Row],[Acceleration]]&lt;0,"Braking","Constant"))</f>
        <v>Accelerating</v>
      </c>
      <c r="F102">
        <v>35.49</v>
      </c>
      <c r="G102">
        <f>IF(ISBLANK(Table1[[#This Row],[Temperature]]),AVERAGE(Table1[Temperature]),Table1[[#This Row],[Temperature]])</f>
        <v>35.49</v>
      </c>
      <c r="H102">
        <f>IF(ISBLANK(Table1[[#This Row],[Temperature]]),"Unknown",Table1[[#This Row],[Temperature]])</f>
        <v>35.49</v>
      </c>
      <c r="I102" t="s">
        <v>1</v>
      </c>
      <c r="J102" t="str">
        <f>PROPER(Table1[[#This Row],[Engine Status]])</f>
        <v>Off</v>
      </c>
      <c r="K102">
        <v>46</v>
      </c>
      <c r="L102" t="str">
        <f>IF(Table1[[#This Row],[Battery Level]]&lt;30,"Low",IF(Table1[[#This Row],[Battery Level]]&lt;60,"Medium","High"))</f>
        <v>Medium</v>
      </c>
    </row>
    <row r="103" spans="1:12" x14ac:dyDescent="0.3">
      <c r="A103">
        <v>102</v>
      </c>
      <c r="B103">
        <v>69.709999999999994</v>
      </c>
      <c r="C103" t="str">
        <f>IF(Table1[[#This Row],[Speed]]&lt;30,"Low",IF(Table1[[#This Row],[Speed]]&lt;60,"Medium","Fast"))</f>
        <v>Fast</v>
      </c>
      <c r="D103">
        <v>2.5</v>
      </c>
      <c r="E103" t="str">
        <f>IF(Table1[[#This Row],[Acceleration]]&gt;0,"Accelerating",IF(Table1[[#This Row],[Acceleration]]&lt;0,"Braking","Constant"))</f>
        <v>Accelerating</v>
      </c>
      <c r="F103">
        <v>46.67</v>
      </c>
      <c r="G103">
        <f>IF(ISBLANK(Table1[[#This Row],[Temperature]]),AVERAGE(Table1[Temperature]),Table1[[#This Row],[Temperature]])</f>
        <v>46.67</v>
      </c>
      <c r="H103">
        <f>IF(ISBLANK(Table1[[#This Row],[Temperature]]),"Unknown",Table1[[#This Row],[Temperature]])</f>
        <v>46.67</v>
      </c>
      <c r="I103" t="s">
        <v>0</v>
      </c>
      <c r="J103" t="str">
        <f>PROPER(Table1[[#This Row],[Engine Status]])</f>
        <v>On</v>
      </c>
      <c r="K103">
        <v>21</v>
      </c>
      <c r="L103" t="str">
        <f>IF(Table1[[#This Row],[Battery Level]]&lt;30,"Low",IF(Table1[[#This Row],[Battery Level]]&lt;60,"Medium","High"))</f>
        <v>Low</v>
      </c>
    </row>
    <row r="104" spans="1:12" x14ac:dyDescent="0.3">
      <c r="A104">
        <v>103</v>
      </c>
      <c r="B104">
        <v>118.88</v>
      </c>
      <c r="C104" t="str">
        <f>IF(Table1[[#This Row],[Speed]]&lt;30,"Low",IF(Table1[[#This Row],[Speed]]&lt;60,"Medium","Fast"))</f>
        <v>Fast</v>
      </c>
      <c r="D104">
        <v>-3.48</v>
      </c>
      <c r="E104" t="str">
        <f>IF(Table1[[#This Row],[Acceleration]]&gt;0,"Accelerating",IF(Table1[[#This Row],[Acceleration]]&lt;0,"Braking","Constant"))</f>
        <v>Braking</v>
      </c>
      <c r="F104">
        <v>76.59</v>
      </c>
      <c r="G104">
        <f>IF(ISBLANK(Table1[[#This Row],[Temperature]]),AVERAGE(Table1[Temperature]),Table1[[#This Row],[Temperature]])</f>
        <v>76.59</v>
      </c>
      <c r="H104">
        <f>IF(ISBLANK(Table1[[#This Row],[Temperature]]),"Unknown",Table1[[#This Row],[Temperature]])</f>
        <v>76.59</v>
      </c>
      <c r="I104" t="s">
        <v>1</v>
      </c>
      <c r="J104" t="str">
        <f>PROPER(Table1[[#This Row],[Engine Status]])</f>
        <v>Off</v>
      </c>
      <c r="K104">
        <v>50</v>
      </c>
      <c r="L104" t="str">
        <f>IF(Table1[[#This Row],[Battery Level]]&lt;30,"Low",IF(Table1[[#This Row],[Battery Level]]&lt;60,"Medium","High"))</f>
        <v>Medium</v>
      </c>
    </row>
    <row r="105" spans="1:12" x14ac:dyDescent="0.3">
      <c r="A105">
        <v>104</v>
      </c>
      <c r="B105">
        <v>90.81</v>
      </c>
      <c r="C105" t="str">
        <f>IF(Table1[[#This Row],[Speed]]&lt;30,"Low",IF(Table1[[#This Row],[Speed]]&lt;60,"Medium","Fast"))</f>
        <v>Fast</v>
      </c>
      <c r="D105">
        <v>-0.42</v>
      </c>
      <c r="E105" t="str">
        <f>IF(Table1[[#This Row],[Acceleration]]&gt;0,"Accelerating",IF(Table1[[#This Row],[Acceleration]]&lt;0,"Braking","Constant"))</f>
        <v>Braking</v>
      </c>
      <c r="F105">
        <v>77.650000000000006</v>
      </c>
      <c r="G105">
        <f>IF(ISBLANK(Table1[[#This Row],[Temperature]]),AVERAGE(Table1[Temperature]),Table1[[#This Row],[Temperature]])</f>
        <v>77.650000000000006</v>
      </c>
      <c r="H105">
        <f>IF(ISBLANK(Table1[[#This Row],[Temperature]]),"Unknown",Table1[[#This Row],[Temperature]])</f>
        <v>77.650000000000006</v>
      </c>
      <c r="I105" t="s">
        <v>0</v>
      </c>
      <c r="J105" t="str">
        <f>PROPER(Table1[[#This Row],[Engine Status]])</f>
        <v>On</v>
      </c>
      <c r="K105">
        <v>76</v>
      </c>
      <c r="L105" t="str">
        <f>IF(Table1[[#This Row],[Battery Level]]&lt;30,"Low",IF(Table1[[#This Row],[Battery Level]]&lt;60,"Medium","High"))</f>
        <v>High</v>
      </c>
    </row>
    <row r="106" spans="1:12" x14ac:dyDescent="0.3">
      <c r="A106">
        <v>105</v>
      </c>
      <c r="B106">
        <v>53.08</v>
      </c>
      <c r="C106" t="str">
        <f>IF(Table1[[#This Row],[Speed]]&lt;30,"Low",IF(Table1[[#This Row],[Speed]]&lt;60,"Medium","Fast"))</f>
        <v>Medium</v>
      </c>
      <c r="D106">
        <v>-1.49</v>
      </c>
      <c r="E106" t="str">
        <f>IF(Table1[[#This Row],[Acceleration]]&gt;0,"Accelerating",IF(Table1[[#This Row],[Acceleration]]&lt;0,"Braking","Constant"))</f>
        <v>Braking</v>
      </c>
      <c r="F106">
        <v>46.92</v>
      </c>
      <c r="G106">
        <f>IF(ISBLANK(Table1[[#This Row],[Temperature]]),AVERAGE(Table1[Temperature]),Table1[[#This Row],[Temperature]])</f>
        <v>46.92</v>
      </c>
      <c r="H106">
        <f>IF(ISBLANK(Table1[[#This Row],[Temperature]]),"Unknown",Table1[[#This Row],[Temperature]])</f>
        <v>46.92</v>
      </c>
      <c r="I106" t="s">
        <v>0</v>
      </c>
      <c r="J106" t="str">
        <f>PROPER(Table1[[#This Row],[Engine Status]])</f>
        <v>On</v>
      </c>
      <c r="K106">
        <v>97</v>
      </c>
      <c r="L106" t="str">
        <f>IF(Table1[[#This Row],[Battery Level]]&lt;30,"Low",IF(Table1[[#This Row],[Battery Level]]&lt;60,"Medium","High"))</f>
        <v>High</v>
      </c>
    </row>
    <row r="107" spans="1:12" x14ac:dyDescent="0.3">
      <c r="A107">
        <v>106</v>
      </c>
      <c r="B107">
        <v>84.89</v>
      </c>
      <c r="C107" t="str">
        <f>IF(Table1[[#This Row],[Speed]]&lt;30,"Low",IF(Table1[[#This Row],[Speed]]&lt;60,"Medium","Fast"))</f>
        <v>Fast</v>
      </c>
      <c r="D107">
        <v>-4.0599999999999996</v>
      </c>
      <c r="E107" t="str">
        <f>IF(Table1[[#This Row],[Acceleration]]&gt;0,"Accelerating",IF(Table1[[#This Row],[Acceleration]]&lt;0,"Braking","Constant"))</f>
        <v>Braking</v>
      </c>
      <c r="G107">
        <f>IF(ISBLANK(Table1[[#This Row],[Temperature]]),AVERAGE(Table1[Temperature]),Table1[[#This Row],[Temperature]])</f>
        <v>56.31555555555552</v>
      </c>
      <c r="H107" t="str">
        <f>IF(ISBLANK(Table1[[#This Row],[Temperature]]),"Unknown",Table1[[#This Row],[Temperature]])</f>
        <v>Unknown</v>
      </c>
      <c r="I107" t="s">
        <v>0</v>
      </c>
      <c r="J107" t="str">
        <f>PROPER(Table1[[#This Row],[Engine Status]])</f>
        <v>On</v>
      </c>
      <c r="K107">
        <v>85</v>
      </c>
      <c r="L107" t="str">
        <f>IF(Table1[[#This Row],[Battery Level]]&lt;30,"Low",IF(Table1[[#This Row],[Battery Level]]&lt;60,"Medium","High"))</f>
        <v>High</v>
      </c>
    </row>
    <row r="108" spans="1:12" x14ac:dyDescent="0.3">
      <c r="A108">
        <v>107</v>
      </c>
      <c r="B108">
        <v>46.71</v>
      </c>
      <c r="C108" t="str">
        <f>IF(Table1[[#This Row],[Speed]]&lt;30,"Low",IF(Table1[[#This Row],[Speed]]&lt;60,"Medium","Fast"))</f>
        <v>Medium</v>
      </c>
      <c r="D108">
        <v>-0.14000000000000001</v>
      </c>
      <c r="E108" t="str">
        <f>IF(Table1[[#This Row],[Acceleration]]&gt;0,"Accelerating",IF(Table1[[#This Row],[Acceleration]]&lt;0,"Braking","Constant"))</f>
        <v>Braking</v>
      </c>
      <c r="F108">
        <v>41.23</v>
      </c>
      <c r="G108">
        <f>IF(ISBLANK(Table1[[#This Row],[Temperature]]),AVERAGE(Table1[Temperature]),Table1[[#This Row],[Temperature]])</f>
        <v>41.23</v>
      </c>
      <c r="H108">
        <f>IF(ISBLANK(Table1[[#This Row],[Temperature]]),"Unknown",Table1[[#This Row],[Temperature]])</f>
        <v>41.23</v>
      </c>
      <c r="I108" t="s">
        <v>0</v>
      </c>
      <c r="J108" t="str">
        <f>PROPER(Table1[[#This Row],[Engine Status]])</f>
        <v>On</v>
      </c>
      <c r="K108">
        <v>48</v>
      </c>
      <c r="L108" t="str">
        <f>IF(Table1[[#This Row],[Battery Level]]&lt;30,"Low",IF(Table1[[#This Row],[Battery Level]]&lt;60,"Medium","High"))</f>
        <v>Medium</v>
      </c>
    </row>
    <row r="109" spans="1:12" x14ac:dyDescent="0.3">
      <c r="A109">
        <v>108</v>
      </c>
      <c r="B109">
        <v>27.47</v>
      </c>
      <c r="C109" t="str">
        <f>IF(Table1[[#This Row],[Speed]]&lt;30,"Low",IF(Table1[[#This Row],[Speed]]&lt;60,"Medium","Fast"))</f>
        <v>Low</v>
      </c>
      <c r="D109">
        <v>4.21</v>
      </c>
      <c r="E109" t="str">
        <f>IF(Table1[[#This Row],[Acceleration]]&gt;0,"Accelerating",IF(Table1[[#This Row],[Acceleration]]&lt;0,"Braking","Constant"))</f>
        <v>Accelerating</v>
      </c>
      <c r="F109">
        <v>85.28</v>
      </c>
      <c r="G109">
        <f>IF(ISBLANK(Table1[[#This Row],[Temperature]]),AVERAGE(Table1[Temperature]),Table1[[#This Row],[Temperature]])</f>
        <v>85.28</v>
      </c>
      <c r="H109">
        <f>IF(ISBLANK(Table1[[#This Row],[Temperature]]),"Unknown",Table1[[#This Row],[Temperature]])</f>
        <v>85.28</v>
      </c>
      <c r="I109" t="s">
        <v>0</v>
      </c>
      <c r="J109" t="str">
        <f>PROPER(Table1[[#This Row],[Engine Status]])</f>
        <v>On</v>
      </c>
      <c r="K109">
        <v>34</v>
      </c>
      <c r="L109" t="str">
        <f>IF(Table1[[#This Row],[Battery Level]]&lt;30,"Low",IF(Table1[[#This Row],[Battery Level]]&lt;60,"Medium","High"))</f>
        <v>Medium</v>
      </c>
    </row>
    <row r="110" spans="1:12" x14ac:dyDescent="0.3">
      <c r="A110">
        <v>109</v>
      </c>
      <c r="B110">
        <v>71.62</v>
      </c>
      <c r="C110" t="str">
        <f>IF(Table1[[#This Row],[Speed]]&lt;30,"Low",IF(Table1[[#This Row],[Speed]]&lt;60,"Medium","Fast"))</f>
        <v>Fast</v>
      </c>
      <c r="D110">
        <v>-4.5999999999999996</v>
      </c>
      <c r="E110" t="str">
        <f>IF(Table1[[#This Row],[Acceleration]]&gt;0,"Accelerating",IF(Table1[[#This Row],[Acceleration]]&lt;0,"Braking","Constant"))</f>
        <v>Braking</v>
      </c>
      <c r="F110">
        <v>28.31</v>
      </c>
      <c r="G110">
        <f>IF(ISBLANK(Table1[[#This Row],[Temperature]]),AVERAGE(Table1[Temperature]),Table1[[#This Row],[Temperature]])</f>
        <v>28.31</v>
      </c>
      <c r="H110">
        <f>IF(ISBLANK(Table1[[#This Row],[Temperature]]),"Unknown",Table1[[#This Row],[Temperature]])</f>
        <v>28.31</v>
      </c>
      <c r="I110" t="s">
        <v>1</v>
      </c>
      <c r="J110" t="str">
        <f>PROPER(Table1[[#This Row],[Engine Status]])</f>
        <v>Off</v>
      </c>
      <c r="K110">
        <v>31</v>
      </c>
      <c r="L110" t="str">
        <f>IF(Table1[[#This Row],[Battery Level]]&lt;30,"Low",IF(Table1[[#This Row],[Battery Level]]&lt;60,"Medium","High"))</f>
        <v>Medium</v>
      </c>
    </row>
    <row r="111" spans="1:12" x14ac:dyDescent="0.3">
      <c r="A111">
        <v>110</v>
      </c>
      <c r="B111">
        <v>111.38</v>
      </c>
      <c r="C111" t="str">
        <f>IF(Table1[[#This Row],[Speed]]&lt;30,"Low",IF(Table1[[#This Row],[Speed]]&lt;60,"Medium","Fast"))</f>
        <v>Fast</v>
      </c>
      <c r="D111">
        <v>-2.09</v>
      </c>
      <c r="E111" t="str">
        <f>IF(Table1[[#This Row],[Acceleration]]&gt;0,"Accelerating",IF(Table1[[#This Row],[Acceleration]]&lt;0,"Braking","Constant"))</f>
        <v>Braking</v>
      </c>
      <c r="F111">
        <v>85.36</v>
      </c>
      <c r="G111">
        <f>IF(ISBLANK(Table1[[#This Row],[Temperature]]),AVERAGE(Table1[Temperature]),Table1[[#This Row],[Temperature]])</f>
        <v>85.36</v>
      </c>
      <c r="H111">
        <f>IF(ISBLANK(Table1[[#This Row],[Temperature]]),"Unknown",Table1[[#This Row],[Temperature]])</f>
        <v>85.36</v>
      </c>
      <c r="I111" t="s">
        <v>1</v>
      </c>
      <c r="J111" t="str">
        <f>PROPER(Table1[[#This Row],[Engine Status]])</f>
        <v>Off</v>
      </c>
      <c r="K111">
        <v>47</v>
      </c>
      <c r="L111" t="str">
        <f>IF(Table1[[#This Row],[Battery Level]]&lt;30,"Low",IF(Table1[[#This Row],[Battery Level]]&lt;60,"Medium","High"))</f>
        <v>Medium</v>
      </c>
    </row>
    <row r="112" spans="1:12" x14ac:dyDescent="0.3">
      <c r="A112">
        <v>111</v>
      </c>
      <c r="B112">
        <v>111.5</v>
      </c>
      <c r="C112" t="str">
        <f>IF(Table1[[#This Row],[Speed]]&lt;30,"Low",IF(Table1[[#This Row],[Speed]]&lt;60,"Medium","Fast"))</f>
        <v>Fast</v>
      </c>
      <c r="D112">
        <v>-2.92</v>
      </c>
      <c r="E112" t="str">
        <f>IF(Table1[[#This Row],[Acceleration]]&gt;0,"Accelerating",IF(Table1[[#This Row],[Acceleration]]&lt;0,"Braking","Constant"))</f>
        <v>Braking</v>
      </c>
      <c r="F112">
        <v>67.87</v>
      </c>
      <c r="G112">
        <f>IF(ISBLANK(Table1[[#This Row],[Temperature]]),AVERAGE(Table1[Temperature]),Table1[[#This Row],[Temperature]])</f>
        <v>67.87</v>
      </c>
      <c r="H112">
        <f>IF(ISBLANK(Table1[[#This Row],[Temperature]]),"Unknown",Table1[[#This Row],[Temperature]])</f>
        <v>67.87</v>
      </c>
      <c r="I112" t="s">
        <v>0</v>
      </c>
      <c r="J112" t="str">
        <f>PROPER(Table1[[#This Row],[Engine Status]])</f>
        <v>On</v>
      </c>
      <c r="K112">
        <v>43</v>
      </c>
      <c r="L112" t="str">
        <f>IF(Table1[[#This Row],[Battery Level]]&lt;30,"Low",IF(Table1[[#This Row],[Battery Level]]&lt;60,"Medium","High"))</f>
        <v>Medium</v>
      </c>
    </row>
    <row r="113" spans="1:12" x14ac:dyDescent="0.3">
      <c r="A113">
        <v>112</v>
      </c>
      <c r="B113">
        <v>41.03</v>
      </c>
      <c r="C113" t="str">
        <f>IF(Table1[[#This Row],[Speed]]&lt;30,"Low",IF(Table1[[#This Row],[Speed]]&lt;60,"Medium","Fast"))</f>
        <v>Medium</v>
      </c>
      <c r="D113">
        <v>-2.62</v>
      </c>
      <c r="E113" t="str">
        <f>IF(Table1[[#This Row],[Acceleration]]&gt;0,"Accelerating",IF(Table1[[#This Row],[Acceleration]]&lt;0,"Braking","Constant"))</f>
        <v>Braking</v>
      </c>
      <c r="F113">
        <v>57.21</v>
      </c>
      <c r="G113">
        <f>IF(ISBLANK(Table1[[#This Row],[Temperature]]),AVERAGE(Table1[Temperature]),Table1[[#This Row],[Temperature]])</f>
        <v>57.21</v>
      </c>
      <c r="H113">
        <f>IF(ISBLANK(Table1[[#This Row],[Temperature]]),"Unknown",Table1[[#This Row],[Temperature]])</f>
        <v>57.21</v>
      </c>
      <c r="I113" t="s">
        <v>1</v>
      </c>
      <c r="J113" t="str">
        <f>PROPER(Table1[[#This Row],[Engine Status]])</f>
        <v>Off</v>
      </c>
      <c r="K113">
        <v>40</v>
      </c>
      <c r="L113" t="str">
        <f>IF(Table1[[#This Row],[Battery Level]]&lt;30,"Low",IF(Table1[[#This Row],[Battery Level]]&lt;60,"Medium","High"))</f>
        <v>Medium</v>
      </c>
    </row>
    <row r="114" spans="1:12" x14ac:dyDescent="0.3">
      <c r="A114">
        <v>113</v>
      </c>
      <c r="B114">
        <v>63.32</v>
      </c>
      <c r="C114" t="str">
        <f>IF(Table1[[#This Row],[Speed]]&lt;30,"Low",IF(Table1[[#This Row],[Speed]]&lt;60,"Medium","Fast"))</f>
        <v>Fast</v>
      </c>
      <c r="D114">
        <v>4.08</v>
      </c>
      <c r="E114" t="str">
        <f>IF(Table1[[#This Row],[Acceleration]]&gt;0,"Accelerating",IF(Table1[[#This Row],[Acceleration]]&lt;0,"Braking","Constant"))</f>
        <v>Accelerating</v>
      </c>
      <c r="F114">
        <v>22.29</v>
      </c>
      <c r="G114">
        <f>IF(ISBLANK(Table1[[#This Row],[Temperature]]),AVERAGE(Table1[Temperature]),Table1[[#This Row],[Temperature]])</f>
        <v>22.29</v>
      </c>
      <c r="H114">
        <f>IF(ISBLANK(Table1[[#This Row],[Temperature]]),"Unknown",Table1[[#This Row],[Temperature]])</f>
        <v>22.29</v>
      </c>
      <c r="I114" t="s">
        <v>0</v>
      </c>
      <c r="J114" t="str">
        <f>PROPER(Table1[[#This Row],[Engine Status]])</f>
        <v>On</v>
      </c>
      <c r="K114">
        <v>29</v>
      </c>
      <c r="L114" t="str">
        <f>IF(Table1[[#This Row],[Battery Level]]&lt;30,"Low",IF(Table1[[#This Row],[Battery Level]]&lt;60,"Medium","High"))</f>
        <v>Low</v>
      </c>
    </row>
    <row r="115" spans="1:12" x14ac:dyDescent="0.3">
      <c r="A115">
        <v>114</v>
      </c>
      <c r="B115">
        <v>25.4</v>
      </c>
      <c r="C115" t="str">
        <f>IF(Table1[[#This Row],[Speed]]&lt;30,"Low",IF(Table1[[#This Row],[Speed]]&lt;60,"Medium","Fast"))</f>
        <v>Low</v>
      </c>
      <c r="D115">
        <v>-0.32</v>
      </c>
      <c r="E115" t="str">
        <f>IF(Table1[[#This Row],[Acceleration]]&gt;0,"Accelerating",IF(Table1[[#This Row],[Acceleration]]&lt;0,"Braking","Constant"))</f>
        <v>Braking</v>
      </c>
      <c r="F115">
        <v>53.29</v>
      </c>
      <c r="G115">
        <f>IF(ISBLANK(Table1[[#This Row],[Temperature]]),AVERAGE(Table1[Temperature]),Table1[[#This Row],[Temperature]])</f>
        <v>53.29</v>
      </c>
      <c r="H115">
        <f>IF(ISBLANK(Table1[[#This Row],[Temperature]]),"Unknown",Table1[[#This Row],[Temperature]])</f>
        <v>53.29</v>
      </c>
      <c r="I115" t="s">
        <v>1</v>
      </c>
      <c r="J115" t="str">
        <f>PROPER(Table1[[#This Row],[Engine Status]])</f>
        <v>Off</v>
      </c>
      <c r="K115">
        <v>97</v>
      </c>
      <c r="L115" t="str">
        <f>IF(Table1[[#This Row],[Battery Level]]&lt;30,"Low",IF(Table1[[#This Row],[Battery Level]]&lt;60,"Medium","High"))</f>
        <v>High</v>
      </c>
    </row>
    <row r="116" spans="1:12" x14ac:dyDescent="0.3">
      <c r="A116">
        <v>115</v>
      </c>
      <c r="B116">
        <v>119.48</v>
      </c>
      <c r="C116" t="str">
        <f>IF(Table1[[#This Row],[Speed]]&lt;30,"Low",IF(Table1[[#This Row],[Speed]]&lt;60,"Medium","Fast"))</f>
        <v>Fast</v>
      </c>
      <c r="D116">
        <v>-0.34</v>
      </c>
      <c r="E116" t="str">
        <f>IF(Table1[[#This Row],[Acceleration]]&gt;0,"Accelerating",IF(Table1[[#This Row],[Acceleration]]&lt;0,"Braking","Constant"))</f>
        <v>Braking</v>
      </c>
      <c r="F116">
        <v>48.54</v>
      </c>
      <c r="G116">
        <f>IF(ISBLANK(Table1[[#This Row],[Temperature]]),AVERAGE(Table1[Temperature]),Table1[[#This Row],[Temperature]])</f>
        <v>48.54</v>
      </c>
      <c r="H116">
        <f>IF(ISBLANK(Table1[[#This Row],[Temperature]]),"Unknown",Table1[[#This Row],[Temperature]])</f>
        <v>48.54</v>
      </c>
      <c r="I116" t="s">
        <v>1</v>
      </c>
      <c r="J116" t="str">
        <f>PROPER(Table1[[#This Row],[Engine Status]])</f>
        <v>Off</v>
      </c>
      <c r="K116">
        <v>37</v>
      </c>
      <c r="L116" t="str">
        <f>IF(Table1[[#This Row],[Battery Level]]&lt;30,"Low",IF(Table1[[#This Row],[Battery Level]]&lt;60,"Medium","High"))</f>
        <v>Medium</v>
      </c>
    </row>
    <row r="117" spans="1:12" x14ac:dyDescent="0.3">
      <c r="A117">
        <v>116</v>
      </c>
      <c r="B117">
        <v>117.73</v>
      </c>
      <c r="C117" t="str">
        <f>IF(Table1[[#This Row],[Speed]]&lt;30,"Low",IF(Table1[[#This Row],[Speed]]&lt;60,"Medium","Fast"))</f>
        <v>Fast</v>
      </c>
      <c r="D117">
        <v>2.61</v>
      </c>
      <c r="E117" t="str">
        <f>IF(Table1[[#This Row],[Acceleration]]&gt;0,"Accelerating",IF(Table1[[#This Row],[Acceleration]]&lt;0,"Braking","Constant"))</f>
        <v>Accelerating</v>
      </c>
      <c r="F117">
        <v>31.29</v>
      </c>
      <c r="G117">
        <f>IF(ISBLANK(Table1[[#This Row],[Temperature]]),AVERAGE(Table1[Temperature]),Table1[[#This Row],[Temperature]])</f>
        <v>31.29</v>
      </c>
      <c r="H117">
        <f>IF(ISBLANK(Table1[[#This Row],[Temperature]]),"Unknown",Table1[[#This Row],[Temperature]])</f>
        <v>31.29</v>
      </c>
      <c r="I117" t="s">
        <v>1</v>
      </c>
      <c r="J117" t="str">
        <f>PROPER(Table1[[#This Row],[Engine Status]])</f>
        <v>Off</v>
      </c>
      <c r="K117">
        <v>33</v>
      </c>
      <c r="L117" t="str">
        <f>IF(Table1[[#This Row],[Battery Level]]&lt;30,"Low",IF(Table1[[#This Row],[Battery Level]]&lt;60,"Medium","High"))</f>
        <v>Medium</v>
      </c>
    </row>
    <row r="118" spans="1:12" x14ac:dyDescent="0.3">
      <c r="A118">
        <v>117</v>
      </c>
      <c r="B118">
        <v>77.94</v>
      </c>
      <c r="C118" t="str">
        <f>IF(Table1[[#This Row],[Speed]]&lt;30,"Low",IF(Table1[[#This Row],[Speed]]&lt;60,"Medium","Fast"))</f>
        <v>Fast</v>
      </c>
      <c r="D118">
        <v>-3.46</v>
      </c>
      <c r="E118" t="str">
        <f>IF(Table1[[#This Row],[Acceleration]]&gt;0,"Accelerating",IF(Table1[[#This Row],[Acceleration]]&lt;0,"Braking","Constant"))</f>
        <v>Braking</v>
      </c>
      <c r="F118">
        <v>65.95</v>
      </c>
      <c r="G118">
        <f>IF(ISBLANK(Table1[[#This Row],[Temperature]]),AVERAGE(Table1[Temperature]),Table1[[#This Row],[Temperature]])</f>
        <v>65.95</v>
      </c>
      <c r="H118">
        <f>IF(ISBLANK(Table1[[#This Row],[Temperature]]),"Unknown",Table1[[#This Row],[Temperature]])</f>
        <v>65.95</v>
      </c>
      <c r="I118" t="s">
        <v>1</v>
      </c>
      <c r="J118" t="str">
        <f>PROPER(Table1[[#This Row],[Engine Status]])</f>
        <v>Off</v>
      </c>
      <c r="K118">
        <v>53</v>
      </c>
      <c r="L118" t="str">
        <f>IF(Table1[[#This Row],[Battery Level]]&lt;30,"Low",IF(Table1[[#This Row],[Battery Level]]&lt;60,"Medium","High"))</f>
        <v>Medium</v>
      </c>
    </row>
    <row r="119" spans="1:12" x14ac:dyDescent="0.3">
      <c r="A119">
        <v>118</v>
      </c>
      <c r="B119">
        <v>96.53</v>
      </c>
      <c r="C119" t="str">
        <f>IF(Table1[[#This Row],[Speed]]&lt;30,"Low",IF(Table1[[#This Row],[Speed]]&lt;60,"Medium","Fast"))</f>
        <v>Fast</v>
      </c>
      <c r="D119">
        <v>-0.13</v>
      </c>
      <c r="E119" t="str">
        <f>IF(Table1[[#This Row],[Acceleration]]&gt;0,"Accelerating",IF(Table1[[#This Row],[Acceleration]]&lt;0,"Braking","Constant"))</f>
        <v>Braking</v>
      </c>
      <c r="F119">
        <v>87.98</v>
      </c>
      <c r="G119">
        <f>IF(ISBLANK(Table1[[#This Row],[Temperature]]),AVERAGE(Table1[Temperature]),Table1[[#This Row],[Temperature]])</f>
        <v>87.98</v>
      </c>
      <c r="H119">
        <f>IF(ISBLANK(Table1[[#This Row],[Temperature]]),"Unknown",Table1[[#This Row],[Temperature]])</f>
        <v>87.98</v>
      </c>
      <c r="I119" t="s">
        <v>1</v>
      </c>
      <c r="J119" t="str">
        <f>PROPER(Table1[[#This Row],[Engine Status]])</f>
        <v>Off</v>
      </c>
      <c r="K119">
        <v>77</v>
      </c>
      <c r="L119" t="str">
        <f>IF(Table1[[#This Row],[Battery Level]]&lt;30,"Low",IF(Table1[[#This Row],[Battery Level]]&lt;60,"Medium","High"))</f>
        <v>High</v>
      </c>
    </row>
    <row r="120" spans="1:12" x14ac:dyDescent="0.3">
      <c r="A120">
        <v>119</v>
      </c>
      <c r="B120">
        <v>85.81</v>
      </c>
      <c r="C120" t="str">
        <f>IF(Table1[[#This Row],[Speed]]&lt;30,"Low",IF(Table1[[#This Row],[Speed]]&lt;60,"Medium","Fast"))</f>
        <v>Fast</v>
      </c>
      <c r="D120">
        <v>-0.7</v>
      </c>
      <c r="E120" t="str">
        <f>IF(Table1[[#This Row],[Acceleration]]&gt;0,"Accelerating",IF(Table1[[#This Row],[Acceleration]]&lt;0,"Braking","Constant"))</f>
        <v>Braking</v>
      </c>
      <c r="F120">
        <v>59.35</v>
      </c>
      <c r="G120">
        <f>IF(ISBLANK(Table1[[#This Row],[Temperature]]),AVERAGE(Table1[Temperature]),Table1[[#This Row],[Temperature]])</f>
        <v>59.35</v>
      </c>
      <c r="H120">
        <f>IF(ISBLANK(Table1[[#This Row],[Temperature]]),"Unknown",Table1[[#This Row],[Temperature]])</f>
        <v>59.35</v>
      </c>
      <c r="I120" t="s">
        <v>0</v>
      </c>
      <c r="J120" t="str">
        <f>PROPER(Table1[[#This Row],[Engine Status]])</f>
        <v>On</v>
      </c>
      <c r="K120">
        <v>95</v>
      </c>
      <c r="L120" t="str">
        <f>IF(Table1[[#This Row],[Battery Level]]&lt;30,"Low",IF(Table1[[#This Row],[Battery Level]]&lt;60,"Medium","High"))</f>
        <v>High</v>
      </c>
    </row>
    <row r="121" spans="1:12" x14ac:dyDescent="0.3">
      <c r="A121">
        <v>120</v>
      </c>
      <c r="B121">
        <v>71.180000000000007</v>
      </c>
      <c r="C121" t="str">
        <f>IF(Table1[[#This Row],[Speed]]&lt;30,"Low",IF(Table1[[#This Row],[Speed]]&lt;60,"Medium","Fast"))</f>
        <v>Fast</v>
      </c>
      <c r="D121">
        <v>0.97</v>
      </c>
      <c r="E121" t="str">
        <f>IF(Table1[[#This Row],[Acceleration]]&gt;0,"Accelerating",IF(Table1[[#This Row],[Acceleration]]&lt;0,"Braking","Constant"))</f>
        <v>Accelerating</v>
      </c>
      <c r="F121">
        <v>70.03</v>
      </c>
      <c r="G121">
        <f>IF(ISBLANK(Table1[[#This Row],[Temperature]]),AVERAGE(Table1[Temperature]),Table1[[#This Row],[Temperature]])</f>
        <v>70.03</v>
      </c>
      <c r="H121">
        <f>IF(ISBLANK(Table1[[#This Row],[Temperature]]),"Unknown",Table1[[#This Row],[Temperature]])</f>
        <v>70.03</v>
      </c>
      <c r="I121" t="s">
        <v>0</v>
      </c>
      <c r="J121" t="str">
        <f>PROPER(Table1[[#This Row],[Engine Status]])</f>
        <v>On</v>
      </c>
      <c r="K121">
        <v>41</v>
      </c>
      <c r="L121" t="str">
        <f>IF(Table1[[#This Row],[Battery Level]]&lt;30,"Low",IF(Table1[[#This Row],[Battery Level]]&lt;60,"Medium","High"))</f>
        <v>Medium</v>
      </c>
    </row>
    <row r="122" spans="1:12" x14ac:dyDescent="0.3">
      <c r="A122">
        <v>121</v>
      </c>
      <c r="B122">
        <v>6.4</v>
      </c>
      <c r="C122" t="str">
        <f>IF(Table1[[#This Row],[Speed]]&lt;30,"Low",IF(Table1[[#This Row],[Speed]]&lt;60,"Medium","Fast"))</f>
        <v>Low</v>
      </c>
      <c r="D122">
        <v>5</v>
      </c>
      <c r="E122" t="str">
        <f>IF(Table1[[#This Row],[Acceleration]]&gt;0,"Accelerating",IF(Table1[[#This Row],[Acceleration]]&lt;0,"Braking","Constant"))</f>
        <v>Accelerating</v>
      </c>
      <c r="F122">
        <v>24.79</v>
      </c>
      <c r="G122">
        <f>IF(ISBLANK(Table1[[#This Row],[Temperature]]),AVERAGE(Table1[Temperature]),Table1[[#This Row],[Temperature]])</f>
        <v>24.79</v>
      </c>
      <c r="H122">
        <f>IF(ISBLANK(Table1[[#This Row],[Temperature]]),"Unknown",Table1[[#This Row],[Temperature]])</f>
        <v>24.79</v>
      </c>
      <c r="I122" t="s">
        <v>1</v>
      </c>
      <c r="J122" t="str">
        <f>PROPER(Table1[[#This Row],[Engine Status]])</f>
        <v>Off</v>
      </c>
      <c r="K122">
        <v>89</v>
      </c>
      <c r="L122" t="str">
        <f>IF(Table1[[#This Row],[Battery Level]]&lt;30,"Low",IF(Table1[[#This Row],[Battery Level]]&lt;60,"Medium","High"))</f>
        <v>High</v>
      </c>
    </row>
    <row r="123" spans="1:12" x14ac:dyDescent="0.3">
      <c r="A123">
        <v>122</v>
      </c>
      <c r="B123">
        <v>54.57</v>
      </c>
      <c r="C123" t="str">
        <f>IF(Table1[[#This Row],[Speed]]&lt;30,"Low",IF(Table1[[#This Row],[Speed]]&lt;60,"Medium","Fast"))</f>
        <v>Medium</v>
      </c>
      <c r="D123">
        <v>2.69</v>
      </c>
      <c r="E123" t="str">
        <f>IF(Table1[[#This Row],[Acceleration]]&gt;0,"Accelerating",IF(Table1[[#This Row],[Acceleration]]&lt;0,"Braking","Constant"))</f>
        <v>Accelerating</v>
      </c>
      <c r="F123">
        <v>49.24</v>
      </c>
      <c r="G123">
        <f>IF(ISBLANK(Table1[[#This Row],[Temperature]]),AVERAGE(Table1[Temperature]),Table1[[#This Row],[Temperature]])</f>
        <v>49.24</v>
      </c>
      <c r="H123">
        <f>IF(ISBLANK(Table1[[#This Row],[Temperature]]),"Unknown",Table1[[#This Row],[Temperature]])</f>
        <v>49.24</v>
      </c>
      <c r="I123" t="s">
        <v>0</v>
      </c>
      <c r="J123" t="str">
        <f>PROPER(Table1[[#This Row],[Engine Status]])</f>
        <v>On</v>
      </c>
      <c r="K123">
        <v>55</v>
      </c>
      <c r="L123" t="str">
        <f>IF(Table1[[#This Row],[Battery Level]]&lt;30,"Low",IF(Table1[[#This Row],[Battery Level]]&lt;60,"Medium","High"))</f>
        <v>Medium</v>
      </c>
    </row>
    <row r="124" spans="1:12" x14ac:dyDescent="0.3">
      <c r="A124">
        <v>123</v>
      </c>
      <c r="B124">
        <v>80.97</v>
      </c>
      <c r="C124" t="str">
        <f>IF(Table1[[#This Row],[Speed]]&lt;30,"Low",IF(Table1[[#This Row],[Speed]]&lt;60,"Medium","Fast"))</f>
        <v>Fast</v>
      </c>
      <c r="D124">
        <v>-1.02</v>
      </c>
      <c r="E124" t="str">
        <f>IF(Table1[[#This Row],[Acceleration]]&gt;0,"Accelerating",IF(Table1[[#This Row],[Acceleration]]&lt;0,"Braking","Constant"))</f>
        <v>Braking</v>
      </c>
      <c r="F124">
        <v>28.15</v>
      </c>
      <c r="G124">
        <f>IF(ISBLANK(Table1[[#This Row],[Temperature]]),AVERAGE(Table1[Temperature]),Table1[[#This Row],[Temperature]])</f>
        <v>28.15</v>
      </c>
      <c r="H124">
        <f>IF(ISBLANK(Table1[[#This Row],[Temperature]]),"Unknown",Table1[[#This Row],[Temperature]])</f>
        <v>28.15</v>
      </c>
      <c r="I124" t="s">
        <v>1</v>
      </c>
      <c r="J124" t="str">
        <f>PROPER(Table1[[#This Row],[Engine Status]])</f>
        <v>Off</v>
      </c>
      <c r="K124">
        <v>64</v>
      </c>
      <c r="L124" t="str">
        <f>IF(Table1[[#This Row],[Battery Level]]&lt;30,"Low",IF(Table1[[#This Row],[Battery Level]]&lt;60,"Medium","High"))</f>
        <v>High</v>
      </c>
    </row>
    <row r="125" spans="1:12" x14ac:dyDescent="0.3">
      <c r="A125">
        <v>124</v>
      </c>
      <c r="B125">
        <v>81.3</v>
      </c>
      <c r="C125" t="str">
        <f>IF(Table1[[#This Row],[Speed]]&lt;30,"Low",IF(Table1[[#This Row],[Speed]]&lt;60,"Medium","Fast"))</f>
        <v>Fast</v>
      </c>
      <c r="D125">
        <v>3.28</v>
      </c>
      <c r="E125" t="str">
        <f>IF(Table1[[#This Row],[Acceleration]]&gt;0,"Accelerating",IF(Table1[[#This Row],[Acceleration]]&lt;0,"Braking","Constant"))</f>
        <v>Accelerating</v>
      </c>
      <c r="F125">
        <v>62.9</v>
      </c>
      <c r="G125">
        <f>IF(ISBLANK(Table1[[#This Row],[Temperature]]),AVERAGE(Table1[Temperature]),Table1[[#This Row],[Temperature]])</f>
        <v>62.9</v>
      </c>
      <c r="H125">
        <f>IF(ISBLANK(Table1[[#This Row],[Temperature]]),"Unknown",Table1[[#This Row],[Temperature]])</f>
        <v>62.9</v>
      </c>
      <c r="I125" t="s">
        <v>0</v>
      </c>
      <c r="J125" t="str">
        <f>PROPER(Table1[[#This Row],[Engine Status]])</f>
        <v>On</v>
      </c>
      <c r="K125">
        <v>55</v>
      </c>
      <c r="L125" t="str">
        <f>IF(Table1[[#This Row],[Battery Level]]&lt;30,"Low",IF(Table1[[#This Row],[Battery Level]]&lt;60,"Medium","High"))</f>
        <v>Medium</v>
      </c>
    </row>
    <row r="126" spans="1:12" x14ac:dyDescent="0.3">
      <c r="A126">
        <v>125</v>
      </c>
      <c r="B126">
        <v>44.77</v>
      </c>
      <c r="C126" t="str">
        <f>IF(Table1[[#This Row],[Speed]]&lt;30,"Low",IF(Table1[[#This Row],[Speed]]&lt;60,"Medium","Fast"))</f>
        <v>Medium</v>
      </c>
      <c r="D126">
        <v>-3.29</v>
      </c>
      <c r="E126" t="str">
        <f>IF(Table1[[#This Row],[Acceleration]]&gt;0,"Accelerating",IF(Table1[[#This Row],[Acceleration]]&lt;0,"Braking","Constant"))</f>
        <v>Braking</v>
      </c>
      <c r="F126">
        <v>85.69</v>
      </c>
      <c r="G126">
        <f>IF(ISBLANK(Table1[[#This Row],[Temperature]]),AVERAGE(Table1[Temperature]),Table1[[#This Row],[Temperature]])</f>
        <v>85.69</v>
      </c>
      <c r="H126">
        <f>IF(ISBLANK(Table1[[#This Row],[Temperature]]),"Unknown",Table1[[#This Row],[Temperature]])</f>
        <v>85.69</v>
      </c>
      <c r="I126" t="s">
        <v>1</v>
      </c>
      <c r="J126" t="str">
        <f>PROPER(Table1[[#This Row],[Engine Status]])</f>
        <v>Off</v>
      </c>
      <c r="K126">
        <v>41</v>
      </c>
      <c r="L126" t="str">
        <f>IF(Table1[[#This Row],[Battery Level]]&lt;30,"Low",IF(Table1[[#This Row],[Battery Level]]&lt;60,"Medium","High"))</f>
        <v>Medium</v>
      </c>
    </row>
    <row r="127" spans="1:12" x14ac:dyDescent="0.3">
      <c r="A127">
        <v>126</v>
      </c>
      <c r="B127">
        <v>113</v>
      </c>
      <c r="C127" t="str">
        <f>IF(Table1[[#This Row],[Speed]]&lt;30,"Low",IF(Table1[[#This Row],[Speed]]&lt;60,"Medium","Fast"))</f>
        <v>Fast</v>
      </c>
      <c r="D127">
        <v>-4.7</v>
      </c>
      <c r="E127" t="str">
        <f>IF(Table1[[#This Row],[Acceleration]]&gt;0,"Accelerating",IF(Table1[[#This Row],[Acceleration]]&lt;0,"Braking","Constant"))</f>
        <v>Braking</v>
      </c>
      <c r="F127">
        <v>66.319999999999993</v>
      </c>
      <c r="G127">
        <f>IF(ISBLANK(Table1[[#This Row],[Temperature]]),AVERAGE(Table1[Temperature]),Table1[[#This Row],[Temperature]])</f>
        <v>66.319999999999993</v>
      </c>
      <c r="H127">
        <f>IF(ISBLANK(Table1[[#This Row],[Temperature]]),"Unknown",Table1[[#This Row],[Temperature]])</f>
        <v>66.319999999999993</v>
      </c>
      <c r="I127" t="s">
        <v>1</v>
      </c>
      <c r="J127" t="str">
        <f>PROPER(Table1[[#This Row],[Engine Status]])</f>
        <v>Off</v>
      </c>
      <c r="K127">
        <v>97</v>
      </c>
      <c r="L127" t="str">
        <f>IF(Table1[[#This Row],[Battery Level]]&lt;30,"Low",IF(Table1[[#This Row],[Battery Level]]&lt;60,"Medium","High"))</f>
        <v>High</v>
      </c>
    </row>
    <row r="128" spans="1:12" x14ac:dyDescent="0.3">
      <c r="A128">
        <v>127</v>
      </c>
      <c r="B128">
        <v>20.079999999999998</v>
      </c>
      <c r="C128" t="str">
        <f>IF(Table1[[#This Row],[Speed]]&lt;30,"Low",IF(Table1[[#This Row],[Speed]]&lt;60,"Medium","Fast"))</f>
        <v>Low</v>
      </c>
      <c r="D128">
        <v>-2.96</v>
      </c>
      <c r="E128" t="str">
        <f>IF(Table1[[#This Row],[Acceleration]]&gt;0,"Accelerating",IF(Table1[[#This Row],[Acceleration]]&lt;0,"Braking","Constant"))</f>
        <v>Braking</v>
      </c>
      <c r="F128">
        <v>25.38</v>
      </c>
      <c r="G128">
        <f>IF(ISBLANK(Table1[[#This Row],[Temperature]]),AVERAGE(Table1[Temperature]),Table1[[#This Row],[Temperature]])</f>
        <v>25.38</v>
      </c>
      <c r="H128">
        <f>IF(ISBLANK(Table1[[#This Row],[Temperature]]),"Unknown",Table1[[#This Row],[Temperature]])</f>
        <v>25.38</v>
      </c>
      <c r="I128" t="s">
        <v>1</v>
      </c>
      <c r="J128" t="str">
        <f>PROPER(Table1[[#This Row],[Engine Status]])</f>
        <v>Off</v>
      </c>
      <c r="K128">
        <v>99</v>
      </c>
      <c r="L128" t="str">
        <f>IF(Table1[[#This Row],[Battery Level]]&lt;30,"Low",IF(Table1[[#This Row],[Battery Level]]&lt;60,"Medium","High"))</f>
        <v>High</v>
      </c>
    </row>
    <row r="129" spans="1:12" x14ac:dyDescent="0.3">
      <c r="A129">
        <v>128</v>
      </c>
      <c r="B129">
        <v>60.04</v>
      </c>
      <c r="C129" t="str">
        <f>IF(Table1[[#This Row],[Speed]]&lt;30,"Low",IF(Table1[[#This Row],[Speed]]&lt;60,"Medium","Fast"))</f>
        <v>Fast</v>
      </c>
      <c r="D129">
        <v>-1.6</v>
      </c>
      <c r="E129" t="str">
        <f>IF(Table1[[#This Row],[Acceleration]]&gt;0,"Accelerating",IF(Table1[[#This Row],[Acceleration]]&lt;0,"Braking","Constant"))</f>
        <v>Braking</v>
      </c>
      <c r="F129">
        <v>44.83</v>
      </c>
      <c r="G129">
        <f>IF(ISBLANK(Table1[[#This Row],[Temperature]]),AVERAGE(Table1[Temperature]),Table1[[#This Row],[Temperature]])</f>
        <v>44.83</v>
      </c>
      <c r="H129">
        <f>IF(ISBLANK(Table1[[#This Row],[Temperature]]),"Unknown",Table1[[#This Row],[Temperature]])</f>
        <v>44.83</v>
      </c>
      <c r="I129" t="s">
        <v>0</v>
      </c>
      <c r="J129" t="str">
        <f>PROPER(Table1[[#This Row],[Engine Status]])</f>
        <v>On</v>
      </c>
      <c r="K129">
        <v>80</v>
      </c>
      <c r="L129" t="str">
        <f>IF(Table1[[#This Row],[Battery Level]]&lt;30,"Low",IF(Table1[[#This Row],[Battery Level]]&lt;60,"Medium","High"))</f>
        <v>High</v>
      </c>
    </row>
    <row r="130" spans="1:12" x14ac:dyDescent="0.3">
      <c r="A130">
        <v>129</v>
      </c>
      <c r="B130">
        <v>82.91</v>
      </c>
      <c r="C130" t="str">
        <f>IF(Table1[[#This Row],[Speed]]&lt;30,"Low",IF(Table1[[#This Row],[Speed]]&lt;60,"Medium","Fast"))</f>
        <v>Fast</v>
      </c>
      <c r="D130">
        <v>0.11</v>
      </c>
      <c r="E130" t="str">
        <f>IF(Table1[[#This Row],[Acceleration]]&gt;0,"Accelerating",IF(Table1[[#This Row],[Acceleration]]&lt;0,"Braking","Constant"))</f>
        <v>Accelerating</v>
      </c>
      <c r="F130">
        <v>58.55</v>
      </c>
      <c r="G130">
        <f>IF(ISBLANK(Table1[[#This Row],[Temperature]]),AVERAGE(Table1[Temperature]),Table1[[#This Row],[Temperature]])</f>
        <v>58.55</v>
      </c>
      <c r="H130">
        <f>IF(ISBLANK(Table1[[#This Row],[Temperature]]),"Unknown",Table1[[#This Row],[Temperature]])</f>
        <v>58.55</v>
      </c>
      <c r="I130" t="s">
        <v>0</v>
      </c>
      <c r="J130" t="str">
        <f>PROPER(Table1[[#This Row],[Engine Status]])</f>
        <v>On</v>
      </c>
      <c r="K130">
        <v>75</v>
      </c>
      <c r="L130" t="str">
        <f>IF(Table1[[#This Row],[Battery Level]]&lt;30,"Low",IF(Table1[[#This Row],[Battery Level]]&lt;60,"Medium","High"))</f>
        <v>High</v>
      </c>
    </row>
    <row r="131" spans="1:12" x14ac:dyDescent="0.3">
      <c r="A131">
        <v>130</v>
      </c>
      <c r="B131">
        <v>83.66</v>
      </c>
      <c r="C131" t="str">
        <f>IF(Table1[[#This Row],[Speed]]&lt;30,"Low",IF(Table1[[#This Row],[Speed]]&lt;60,"Medium","Fast"))</f>
        <v>Fast</v>
      </c>
      <c r="D131">
        <v>1.1499999999999999</v>
      </c>
      <c r="E131" t="str">
        <f>IF(Table1[[#This Row],[Acceleration]]&gt;0,"Accelerating",IF(Table1[[#This Row],[Acceleration]]&lt;0,"Braking","Constant"))</f>
        <v>Accelerating</v>
      </c>
      <c r="F131">
        <v>48.22</v>
      </c>
      <c r="G131">
        <f>IF(ISBLANK(Table1[[#This Row],[Temperature]]),AVERAGE(Table1[Temperature]),Table1[[#This Row],[Temperature]])</f>
        <v>48.22</v>
      </c>
      <c r="H131">
        <f>IF(ISBLANK(Table1[[#This Row],[Temperature]]),"Unknown",Table1[[#This Row],[Temperature]])</f>
        <v>48.22</v>
      </c>
      <c r="I131" t="s">
        <v>1</v>
      </c>
      <c r="J131" t="str">
        <f>PROPER(Table1[[#This Row],[Engine Status]])</f>
        <v>Off</v>
      </c>
      <c r="K131">
        <v>52</v>
      </c>
      <c r="L131" t="str">
        <f>IF(Table1[[#This Row],[Battery Level]]&lt;30,"Low",IF(Table1[[#This Row],[Battery Level]]&lt;60,"Medium","High"))</f>
        <v>Medium</v>
      </c>
    </row>
    <row r="132" spans="1:12" x14ac:dyDescent="0.3">
      <c r="A132">
        <v>131</v>
      </c>
      <c r="B132">
        <v>77.84</v>
      </c>
      <c r="C132" t="str">
        <f>IF(Table1[[#This Row],[Speed]]&lt;30,"Low",IF(Table1[[#This Row],[Speed]]&lt;60,"Medium","Fast"))</f>
        <v>Fast</v>
      </c>
      <c r="D132">
        <v>4.1100000000000003</v>
      </c>
      <c r="E132" t="str">
        <f>IF(Table1[[#This Row],[Acceleration]]&gt;0,"Accelerating",IF(Table1[[#This Row],[Acceleration]]&lt;0,"Braking","Constant"))</f>
        <v>Accelerating</v>
      </c>
      <c r="F132">
        <v>78.36</v>
      </c>
      <c r="G132">
        <f>IF(ISBLANK(Table1[[#This Row],[Temperature]]),AVERAGE(Table1[Temperature]),Table1[[#This Row],[Temperature]])</f>
        <v>78.36</v>
      </c>
      <c r="H132">
        <f>IF(ISBLANK(Table1[[#This Row],[Temperature]]),"Unknown",Table1[[#This Row],[Temperature]])</f>
        <v>78.36</v>
      </c>
      <c r="I132" t="s">
        <v>1</v>
      </c>
      <c r="J132" t="str">
        <f>PROPER(Table1[[#This Row],[Engine Status]])</f>
        <v>Off</v>
      </c>
      <c r="K132">
        <v>64</v>
      </c>
      <c r="L132" t="str">
        <f>IF(Table1[[#This Row],[Battery Level]]&lt;30,"Low",IF(Table1[[#This Row],[Battery Level]]&lt;60,"Medium","High"))</f>
        <v>High</v>
      </c>
    </row>
    <row r="133" spans="1:12" x14ac:dyDescent="0.3">
      <c r="A133">
        <v>132</v>
      </c>
      <c r="B133">
        <v>33.03</v>
      </c>
      <c r="C133" t="str">
        <f>IF(Table1[[#This Row],[Speed]]&lt;30,"Low",IF(Table1[[#This Row],[Speed]]&lt;60,"Medium","Fast"))</f>
        <v>Medium</v>
      </c>
      <c r="D133">
        <v>0.1</v>
      </c>
      <c r="E133" t="str">
        <f>IF(Table1[[#This Row],[Acceleration]]&gt;0,"Accelerating",IF(Table1[[#This Row],[Acceleration]]&lt;0,"Braking","Constant"))</f>
        <v>Accelerating</v>
      </c>
      <c r="F133">
        <v>77.03</v>
      </c>
      <c r="G133">
        <f>IF(ISBLANK(Table1[[#This Row],[Temperature]]),AVERAGE(Table1[Temperature]),Table1[[#This Row],[Temperature]])</f>
        <v>77.03</v>
      </c>
      <c r="H133">
        <f>IF(ISBLANK(Table1[[#This Row],[Temperature]]),"Unknown",Table1[[#This Row],[Temperature]])</f>
        <v>77.03</v>
      </c>
      <c r="I133" t="s">
        <v>0</v>
      </c>
      <c r="J133" t="str">
        <f>PROPER(Table1[[#This Row],[Engine Status]])</f>
        <v>On</v>
      </c>
      <c r="K133">
        <v>55</v>
      </c>
      <c r="L133" t="str">
        <f>IF(Table1[[#This Row],[Battery Level]]&lt;30,"Low",IF(Table1[[#This Row],[Battery Level]]&lt;60,"Medium","High"))</f>
        <v>Medium</v>
      </c>
    </row>
    <row r="134" spans="1:12" x14ac:dyDescent="0.3">
      <c r="A134">
        <v>133</v>
      </c>
      <c r="B134">
        <v>18.739999999999998</v>
      </c>
      <c r="C134" t="str">
        <f>IF(Table1[[#This Row],[Speed]]&lt;30,"Low",IF(Table1[[#This Row],[Speed]]&lt;60,"Medium","Fast"))</f>
        <v>Low</v>
      </c>
      <c r="D134">
        <v>0.01</v>
      </c>
      <c r="E134" t="str">
        <f>IF(Table1[[#This Row],[Acceleration]]&gt;0,"Accelerating",IF(Table1[[#This Row],[Acceleration]]&lt;0,"Braking","Constant"))</f>
        <v>Accelerating</v>
      </c>
      <c r="G134">
        <f>IF(ISBLANK(Table1[[#This Row],[Temperature]]),AVERAGE(Table1[Temperature]),Table1[[#This Row],[Temperature]])</f>
        <v>56.31555555555552</v>
      </c>
      <c r="H134" t="str">
        <f>IF(ISBLANK(Table1[[#This Row],[Temperature]]),"Unknown",Table1[[#This Row],[Temperature]])</f>
        <v>Unknown</v>
      </c>
      <c r="I134" t="s">
        <v>0</v>
      </c>
      <c r="J134" t="str">
        <f>PROPER(Table1[[#This Row],[Engine Status]])</f>
        <v>On</v>
      </c>
      <c r="K134">
        <v>39</v>
      </c>
      <c r="L134" t="str">
        <f>IF(Table1[[#This Row],[Battery Level]]&lt;30,"Low",IF(Table1[[#This Row],[Battery Level]]&lt;60,"Medium","High"))</f>
        <v>Medium</v>
      </c>
    </row>
    <row r="135" spans="1:12" x14ac:dyDescent="0.3">
      <c r="A135">
        <v>134</v>
      </c>
      <c r="B135">
        <v>76.31</v>
      </c>
      <c r="C135" t="str">
        <f>IF(Table1[[#This Row],[Speed]]&lt;30,"Low",IF(Table1[[#This Row],[Speed]]&lt;60,"Medium","Fast"))</f>
        <v>Fast</v>
      </c>
      <c r="D135">
        <v>-4.5</v>
      </c>
      <c r="E135" t="str">
        <f>IF(Table1[[#This Row],[Acceleration]]&gt;0,"Accelerating",IF(Table1[[#This Row],[Acceleration]]&lt;0,"Braking","Constant"))</f>
        <v>Braking</v>
      </c>
      <c r="F135">
        <v>46.14</v>
      </c>
      <c r="G135">
        <f>IF(ISBLANK(Table1[[#This Row],[Temperature]]),AVERAGE(Table1[Temperature]),Table1[[#This Row],[Temperature]])</f>
        <v>46.14</v>
      </c>
      <c r="H135">
        <f>IF(ISBLANK(Table1[[#This Row],[Temperature]]),"Unknown",Table1[[#This Row],[Temperature]])</f>
        <v>46.14</v>
      </c>
      <c r="I135" t="s">
        <v>0</v>
      </c>
      <c r="J135" t="str">
        <f>PROPER(Table1[[#This Row],[Engine Status]])</f>
        <v>On</v>
      </c>
      <c r="K135">
        <v>37</v>
      </c>
      <c r="L135" t="str">
        <f>IF(Table1[[#This Row],[Battery Level]]&lt;30,"Low",IF(Table1[[#This Row],[Battery Level]]&lt;60,"Medium","High"))</f>
        <v>Medium</v>
      </c>
    </row>
    <row r="136" spans="1:12" x14ac:dyDescent="0.3">
      <c r="A136">
        <v>135</v>
      </c>
      <c r="B136">
        <v>71.92</v>
      </c>
      <c r="C136" t="str">
        <f>IF(Table1[[#This Row],[Speed]]&lt;30,"Low",IF(Table1[[#This Row],[Speed]]&lt;60,"Medium","Fast"))</f>
        <v>Fast</v>
      </c>
      <c r="D136">
        <v>-4.6500000000000004</v>
      </c>
      <c r="E136" t="str">
        <f>IF(Table1[[#This Row],[Acceleration]]&gt;0,"Accelerating",IF(Table1[[#This Row],[Acceleration]]&lt;0,"Braking","Constant"))</f>
        <v>Braking</v>
      </c>
      <c r="F136">
        <v>37.869999999999997</v>
      </c>
      <c r="G136">
        <f>IF(ISBLANK(Table1[[#This Row],[Temperature]]),AVERAGE(Table1[Temperature]),Table1[[#This Row],[Temperature]])</f>
        <v>37.869999999999997</v>
      </c>
      <c r="H136">
        <f>IF(ISBLANK(Table1[[#This Row],[Temperature]]),"Unknown",Table1[[#This Row],[Temperature]])</f>
        <v>37.869999999999997</v>
      </c>
      <c r="I136" t="s">
        <v>0</v>
      </c>
      <c r="J136" t="str">
        <f>PROPER(Table1[[#This Row],[Engine Status]])</f>
        <v>On</v>
      </c>
      <c r="K136">
        <v>57</v>
      </c>
      <c r="L136" t="str">
        <f>IF(Table1[[#This Row],[Battery Level]]&lt;30,"Low",IF(Table1[[#This Row],[Battery Level]]&lt;60,"Medium","High"))</f>
        <v>Medium</v>
      </c>
    </row>
    <row r="137" spans="1:12" x14ac:dyDescent="0.3">
      <c r="A137">
        <v>136</v>
      </c>
      <c r="B137">
        <v>21.52</v>
      </c>
      <c r="C137" t="str">
        <f>IF(Table1[[#This Row],[Speed]]&lt;30,"Low",IF(Table1[[#This Row],[Speed]]&lt;60,"Medium","Fast"))</f>
        <v>Low</v>
      </c>
      <c r="D137">
        <v>0.51</v>
      </c>
      <c r="E137" t="str">
        <f>IF(Table1[[#This Row],[Acceleration]]&gt;0,"Accelerating",IF(Table1[[#This Row],[Acceleration]]&lt;0,"Braking","Constant"))</f>
        <v>Accelerating</v>
      </c>
      <c r="F137">
        <v>27.41</v>
      </c>
      <c r="G137">
        <f>IF(ISBLANK(Table1[[#This Row],[Temperature]]),AVERAGE(Table1[Temperature]),Table1[[#This Row],[Temperature]])</f>
        <v>27.41</v>
      </c>
      <c r="H137">
        <f>IF(ISBLANK(Table1[[#This Row],[Temperature]]),"Unknown",Table1[[#This Row],[Temperature]])</f>
        <v>27.41</v>
      </c>
      <c r="I137" t="s">
        <v>0</v>
      </c>
      <c r="J137" t="str">
        <f>PROPER(Table1[[#This Row],[Engine Status]])</f>
        <v>On</v>
      </c>
      <c r="K137">
        <v>86</v>
      </c>
      <c r="L137" t="str">
        <f>IF(Table1[[#This Row],[Battery Level]]&lt;30,"Low",IF(Table1[[#This Row],[Battery Level]]&lt;60,"Medium","High"))</f>
        <v>High</v>
      </c>
    </row>
    <row r="138" spans="1:12" x14ac:dyDescent="0.3">
      <c r="A138">
        <v>137</v>
      </c>
      <c r="B138">
        <v>84.62</v>
      </c>
      <c r="C138" t="str">
        <f>IF(Table1[[#This Row],[Speed]]&lt;30,"Low",IF(Table1[[#This Row],[Speed]]&lt;60,"Medium","Fast"))</f>
        <v>Fast</v>
      </c>
      <c r="D138">
        <v>-0.62</v>
      </c>
      <c r="E138" t="str">
        <f>IF(Table1[[#This Row],[Acceleration]]&gt;0,"Accelerating",IF(Table1[[#This Row],[Acceleration]]&lt;0,"Braking","Constant"))</f>
        <v>Braking</v>
      </c>
      <c r="F138">
        <v>44.84</v>
      </c>
      <c r="G138">
        <f>IF(ISBLANK(Table1[[#This Row],[Temperature]]),AVERAGE(Table1[Temperature]),Table1[[#This Row],[Temperature]])</f>
        <v>44.84</v>
      </c>
      <c r="H138">
        <f>IF(ISBLANK(Table1[[#This Row],[Temperature]]),"Unknown",Table1[[#This Row],[Temperature]])</f>
        <v>44.84</v>
      </c>
      <c r="I138" t="s">
        <v>1</v>
      </c>
      <c r="J138" t="str">
        <f>PROPER(Table1[[#This Row],[Engine Status]])</f>
        <v>Off</v>
      </c>
      <c r="K138">
        <v>42</v>
      </c>
      <c r="L138" t="str">
        <f>IF(Table1[[#This Row],[Battery Level]]&lt;30,"Low",IF(Table1[[#This Row],[Battery Level]]&lt;60,"Medium","High"))</f>
        <v>Medium</v>
      </c>
    </row>
    <row r="139" spans="1:12" x14ac:dyDescent="0.3">
      <c r="A139">
        <v>138</v>
      </c>
      <c r="B139">
        <v>54.62</v>
      </c>
      <c r="C139" t="str">
        <f>IF(Table1[[#This Row],[Speed]]&lt;30,"Low",IF(Table1[[#This Row],[Speed]]&lt;60,"Medium","Fast"))</f>
        <v>Medium</v>
      </c>
      <c r="D139">
        <v>3.39</v>
      </c>
      <c r="E139" t="str">
        <f>IF(Table1[[#This Row],[Acceleration]]&gt;0,"Accelerating",IF(Table1[[#This Row],[Acceleration]]&lt;0,"Braking","Constant"))</f>
        <v>Accelerating</v>
      </c>
      <c r="F139">
        <v>48.92</v>
      </c>
      <c r="G139">
        <f>IF(ISBLANK(Table1[[#This Row],[Temperature]]),AVERAGE(Table1[Temperature]),Table1[[#This Row],[Temperature]])</f>
        <v>48.92</v>
      </c>
      <c r="H139">
        <f>IF(ISBLANK(Table1[[#This Row],[Temperature]]),"Unknown",Table1[[#This Row],[Temperature]])</f>
        <v>48.92</v>
      </c>
      <c r="I139" t="s">
        <v>0</v>
      </c>
      <c r="J139" t="str">
        <f>PROPER(Table1[[#This Row],[Engine Status]])</f>
        <v>On</v>
      </c>
      <c r="K139">
        <v>35</v>
      </c>
      <c r="L139" t="str">
        <f>IF(Table1[[#This Row],[Battery Level]]&lt;30,"Low",IF(Table1[[#This Row],[Battery Level]]&lt;60,"Medium","High"))</f>
        <v>Medium</v>
      </c>
    </row>
    <row r="140" spans="1:12" x14ac:dyDescent="0.3">
      <c r="A140">
        <v>139</v>
      </c>
      <c r="B140">
        <v>80.13</v>
      </c>
      <c r="C140" t="str">
        <f>IF(Table1[[#This Row],[Speed]]&lt;30,"Low",IF(Table1[[#This Row],[Speed]]&lt;60,"Medium","Fast"))</f>
        <v>Fast</v>
      </c>
      <c r="D140">
        <v>-3.39</v>
      </c>
      <c r="E140" t="str">
        <f>IF(Table1[[#This Row],[Acceleration]]&gt;0,"Accelerating",IF(Table1[[#This Row],[Acceleration]]&lt;0,"Braking","Constant"))</f>
        <v>Braking</v>
      </c>
      <c r="F140">
        <v>67.31</v>
      </c>
      <c r="G140">
        <f>IF(ISBLANK(Table1[[#This Row],[Temperature]]),AVERAGE(Table1[Temperature]),Table1[[#This Row],[Temperature]])</f>
        <v>67.31</v>
      </c>
      <c r="H140">
        <f>IF(ISBLANK(Table1[[#This Row],[Temperature]]),"Unknown",Table1[[#This Row],[Temperature]])</f>
        <v>67.31</v>
      </c>
      <c r="I140" t="s">
        <v>1</v>
      </c>
      <c r="J140" t="str">
        <f>PROPER(Table1[[#This Row],[Engine Status]])</f>
        <v>Off</v>
      </c>
      <c r="K140">
        <v>78</v>
      </c>
      <c r="L140" t="str">
        <f>IF(Table1[[#This Row],[Battery Level]]&lt;30,"Low",IF(Table1[[#This Row],[Battery Level]]&lt;60,"Medium","High"))</f>
        <v>High</v>
      </c>
    </row>
    <row r="141" spans="1:12" x14ac:dyDescent="0.3">
      <c r="A141">
        <v>140</v>
      </c>
      <c r="B141">
        <v>100.48</v>
      </c>
      <c r="C141" t="str">
        <f>IF(Table1[[#This Row],[Speed]]&lt;30,"Low",IF(Table1[[#This Row],[Speed]]&lt;60,"Medium","Fast"))</f>
        <v>Fast</v>
      </c>
      <c r="D141">
        <v>-4.75</v>
      </c>
      <c r="E141" t="str">
        <f>IF(Table1[[#This Row],[Acceleration]]&gt;0,"Accelerating",IF(Table1[[#This Row],[Acceleration]]&lt;0,"Braking","Constant"))</f>
        <v>Braking</v>
      </c>
      <c r="F141">
        <v>66.069999999999993</v>
      </c>
      <c r="G141">
        <f>IF(ISBLANK(Table1[[#This Row],[Temperature]]),AVERAGE(Table1[Temperature]),Table1[[#This Row],[Temperature]])</f>
        <v>66.069999999999993</v>
      </c>
      <c r="H141">
        <f>IF(ISBLANK(Table1[[#This Row],[Temperature]]),"Unknown",Table1[[#This Row],[Temperature]])</f>
        <v>66.069999999999993</v>
      </c>
      <c r="I141" t="s">
        <v>1</v>
      </c>
      <c r="J141" t="str">
        <f>PROPER(Table1[[#This Row],[Engine Status]])</f>
        <v>Off</v>
      </c>
      <c r="K141">
        <v>88</v>
      </c>
      <c r="L141" t="str">
        <f>IF(Table1[[#This Row],[Battery Level]]&lt;30,"Low",IF(Table1[[#This Row],[Battery Level]]&lt;60,"Medium","High"))</f>
        <v>High</v>
      </c>
    </row>
    <row r="142" spans="1:12" x14ac:dyDescent="0.3">
      <c r="A142">
        <v>141</v>
      </c>
      <c r="B142">
        <v>20.37</v>
      </c>
      <c r="C142" t="str">
        <f>IF(Table1[[#This Row],[Speed]]&lt;30,"Low",IF(Table1[[#This Row],[Speed]]&lt;60,"Medium","Fast"))</f>
        <v>Low</v>
      </c>
      <c r="D142">
        <v>-0.51</v>
      </c>
      <c r="E142" t="str">
        <f>IF(Table1[[#This Row],[Acceleration]]&gt;0,"Accelerating",IF(Table1[[#This Row],[Acceleration]]&lt;0,"Braking","Constant"))</f>
        <v>Braking</v>
      </c>
      <c r="F142">
        <v>24.91</v>
      </c>
      <c r="G142">
        <f>IF(ISBLANK(Table1[[#This Row],[Temperature]]),AVERAGE(Table1[Temperature]),Table1[[#This Row],[Temperature]])</f>
        <v>24.91</v>
      </c>
      <c r="H142">
        <f>IF(ISBLANK(Table1[[#This Row],[Temperature]]),"Unknown",Table1[[#This Row],[Temperature]])</f>
        <v>24.91</v>
      </c>
      <c r="I142" t="s">
        <v>0</v>
      </c>
      <c r="J142" t="str">
        <f>PROPER(Table1[[#This Row],[Engine Status]])</f>
        <v>On</v>
      </c>
      <c r="K142">
        <v>87</v>
      </c>
      <c r="L142" t="str">
        <f>IF(Table1[[#This Row],[Battery Level]]&lt;30,"Low",IF(Table1[[#This Row],[Battery Level]]&lt;60,"Medium","High"))</f>
        <v>High</v>
      </c>
    </row>
    <row r="143" spans="1:12" x14ac:dyDescent="0.3">
      <c r="A143">
        <v>142</v>
      </c>
      <c r="B143">
        <v>2.2999999999999998</v>
      </c>
      <c r="C143" t="str">
        <f>IF(Table1[[#This Row],[Speed]]&lt;30,"Low",IF(Table1[[#This Row],[Speed]]&lt;60,"Medium","Fast"))</f>
        <v>Low</v>
      </c>
      <c r="D143">
        <v>-2.63</v>
      </c>
      <c r="E143" t="str">
        <f>IF(Table1[[#This Row],[Acceleration]]&gt;0,"Accelerating",IF(Table1[[#This Row],[Acceleration]]&lt;0,"Braking","Constant"))</f>
        <v>Braking</v>
      </c>
      <c r="F143">
        <v>47.67</v>
      </c>
      <c r="G143">
        <f>IF(ISBLANK(Table1[[#This Row],[Temperature]]),AVERAGE(Table1[Temperature]),Table1[[#This Row],[Temperature]])</f>
        <v>47.67</v>
      </c>
      <c r="H143">
        <f>IF(ISBLANK(Table1[[#This Row],[Temperature]]),"Unknown",Table1[[#This Row],[Temperature]])</f>
        <v>47.67</v>
      </c>
      <c r="I143" t="s">
        <v>0</v>
      </c>
      <c r="J143" t="str">
        <f>PROPER(Table1[[#This Row],[Engine Status]])</f>
        <v>On</v>
      </c>
      <c r="K143">
        <v>40</v>
      </c>
      <c r="L143" t="str">
        <f>IF(Table1[[#This Row],[Battery Level]]&lt;30,"Low",IF(Table1[[#This Row],[Battery Level]]&lt;60,"Medium","High"))</f>
        <v>Medium</v>
      </c>
    </row>
    <row r="144" spans="1:12" x14ac:dyDescent="0.3">
      <c r="A144">
        <v>143</v>
      </c>
      <c r="B144">
        <v>93.49</v>
      </c>
      <c r="C144" t="str">
        <f>IF(Table1[[#This Row],[Speed]]&lt;30,"Low",IF(Table1[[#This Row],[Speed]]&lt;60,"Medium","Fast"))</f>
        <v>Fast</v>
      </c>
      <c r="D144">
        <v>-4.5</v>
      </c>
      <c r="E144" t="str">
        <f>IF(Table1[[#This Row],[Acceleration]]&gt;0,"Accelerating",IF(Table1[[#This Row],[Acceleration]]&lt;0,"Braking","Constant"))</f>
        <v>Braking</v>
      </c>
      <c r="G144">
        <f>IF(ISBLANK(Table1[[#This Row],[Temperature]]),AVERAGE(Table1[Temperature]),Table1[[#This Row],[Temperature]])</f>
        <v>56.31555555555552</v>
      </c>
      <c r="H144" t="str">
        <f>IF(ISBLANK(Table1[[#This Row],[Temperature]]),"Unknown",Table1[[#This Row],[Temperature]])</f>
        <v>Unknown</v>
      </c>
      <c r="I144" t="s">
        <v>1</v>
      </c>
      <c r="J144" t="str">
        <f>PROPER(Table1[[#This Row],[Engine Status]])</f>
        <v>Off</v>
      </c>
      <c r="K144">
        <v>97</v>
      </c>
      <c r="L144" t="str">
        <f>IF(Table1[[#This Row],[Battery Level]]&lt;30,"Low",IF(Table1[[#This Row],[Battery Level]]&lt;60,"Medium","High"))</f>
        <v>High</v>
      </c>
    </row>
    <row r="145" spans="1:12" x14ac:dyDescent="0.3">
      <c r="A145">
        <v>144</v>
      </c>
      <c r="B145">
        <v>73.16</v>
      </c>
      <c r="C145" t="str">
        <f>IF(Table1[[#This Row],[Speed]]&lt;30,"Low",IF(Table1[[#This Row],[Speed]]&lt;60,"Medium","Fast"))</f>
        <v>Fast</v>
      </c>
      <c r="D145">
        <v>2.25</v>
      </c>
      <c r="E145" t="str">
        <f>IF(Table1[[#This Row],[Acceleration]]&gt;0,"Accelerating",IF(Table1[[#This Row],[Acceleration]]&lt;0,"Braking","Constant"))</f>
        <v>Accelerating</v>
      </c>
      <c r="F145">
        <v>30.98</v>
      </c>
      <c r="G145">
        <f>IF(ISBLANK(Table1[[#This Row],[Temperature]]),AVERAGE(Table1[Temperature]),Table1[[#This Row],[Temperature]])</f>
        <v>30.98</v>
      </c>
      <c r="H145">
        <f>IF(ISBLANK(Table1[[#This Row],[Temperature]]),"Unknown",Table1[[#This Row],[Temperature]])</f>
        <v>30.98</v>
      </c>
      <c r="I145" t="s">
        <v>0</v>
      </c>
      <c r="J145" t="str">
        <f>PROPER(Table1[[#This Row],[Engine Status]])</f>
        <v>On</v>
      </c>
      <c r="K145">
        <v>97</v>
      </c>
      <c r="L145" t="str">
        <f>IF(Table1[[#This Row],[Battery Level]]&lt;30,"Low",IF(Table1[[#This Row],[Battery Level]]&lt;60,"Medium","High"))</f>
        <v>High</v>
      </c>
    </row>
    <row r="146" spans="1:12" x14ac:dyDescent="0.3">
      <c r="A146">
        <v>145</v>
      </c>
      <c r="B146">
        <v>83.96</v>
      </c>
      <c r="C146" t="str">
        <f>IF(Table1[[#This Row],[Speed]]&lt;30,"Low",IF(Table1[[#This Row],[Speed]]&lt;60,"Medium","Fast"))</f>
        <v>Fast</v>
      </c>
      <c r="D146">
        <v>-3.88</v>
      </c>
      <c r="E146" t="str">
        <f>IF(Table1[[#This Row],[Acceleration]]&gt;0,"Accelerating",IF(Table1[[#This Row],[Acceleration]]&lt;0,"Braking","Constant"))</f>
        <v>Braking</v>
      </c>
      <c r="F146">
        <v>77.91</v>
      </c>
      <c r="G146">
        <f>IF(ISBLANK(Table1[[#This Row],[Temperature]]),AVERAGE(Table1[Temperature]),Table1[[#This Row],[Temperature]])</f>
        <v>77.91</v>
      </c>
      <c r="H146">
        <f>IF(ISBLANK(Table1[[#This Row],[Temperature]]),"Unknown",Table1[[#This Row],[Temperature]])</f>
        <v>77.91</v>
      </c>
      <c r="I146" t="s">
        <v>1</v>
      </c>
      <c r="J146" t="str">
        <f>PROPER(Table1[[#This Row],[Engine Status]])</f>
        <v>Off</v>
      </c>
      <c r="K146">
        <v>89</v>
      </c>
      <c r="L146" t="str">
        <f>IF(Table1[[#This Row],[Battery Level]]&lt;30,"Low",IF(Table1[[#This Row],[Battery Level]]&lt;60,"Medium","High"))</f>
        <v>High</v>
      </c>
    </row>
    <row r="147" spans="1:12" x14ac:dyDescent="0.3">
      <c r="A147">
        <v>146</v>
      </c>
      <c r="B147">
        <v>100.58</v>
      </c>
      <c r="C147" t="str">
        <f>IF(Table1[[#This Row],[Speed]]&lt;30,"Low",IF(Table1[[#This Row],[Speed]]&lt;60,"Medium","Fast"))</f>
        <v>Fast</v>
      </c>
      <c r="D147">
        <v>1.08</v>
      </c>
      <c r="E147" t="str">
        <f>IF(Table1[[#This Row],[Acceleration]]&gt;0,"Accelerating",IF(Table1[[#This Row],[Acceleration]]&lt;0,"Braking","Constant"))</f>
        <v>Accelerating</v>
      </c>
      <c r="G147">
        <f>IF(ISBLANK(Table1[[#This Row],[Temperature]]),AVERAGE(Table1[Temperature]),Table1[[#This Row],[Temperature]])</f>
        <v>56.31555555555552</v>
      </c>
      <c r="H147" t="str">
        <f>IF(ISBLANK(Table1[[#This Row],[Temperature]]),"Unknown",Table1[[#This Row],[Temperature]])</f>
        <v>Unknown</v>
      </c>
      <c r="I147" t="s">
        <v>0</v>
      </c>
      <c r="J147" t="str">
        <f>PROPER(Table1[[#This Row],[Engine Status]])</f>
        <v>On</v>
      </c>
      <c r="K147">
        <v>31</v>
      </c>
      <c r="L147" t="str">
        <f>IF(Table1[[#This Row],[Battery Level]]&lt;30,"Low",IF(Table1[[#This Row],[Battery Level]]&lt;60,"Medium","High"))</f>
        <v>Medium</v>
      </c>
    </row>
    <row r="148" spans="1:12" x14ac:dyDescent="0.3">
      <c r="A148">
        <v>147</v>
      </c>
      <c r="B148">
        <v>96.34</v>
      </c>
      <c r="C148" t="str">
        <f>IF(Table1[[#This Row],[Speed]]&lt;30,"Low",IF(Table1[[#This Row],[Speed]]&lt;60,"Medium","Fast"))</f>
        <v>Fast</v>
      </c>
      <c r="D148">
        <v>-2.19</v>
      </c>
      <c r="E148" t="str">
        <f>IF(Table1[[#This Row],[Acceleration]]&gt;0,"Accelerating",IF(Table1[[#This Row],[Acceleration]]&lt;0,"Braking","Constant"))</f>
        <v>Braking</v>
      </c>
      <c r="F148">
        <v>49.34</v>
      </c>
      <c r="G148">
        <f>IF(ISBLANK(Table1[[#This Row],[Temperature]]),AVERAGE(Table1[Temperature]),Table1[[#This Row],[Temperature]])</f>
        <v>49.34</v>
      </c>
      <c r="H148">
        <f>IF(ISBLANK(Table1[[#This Row],[Temperature]]),"Unknown",Table1[[#This Row],[Temperature]])</f>
        <v>49.34</v>
      </c>
      <c r="I148" t="s">
        <v>0</v>
      </c>
      <c r="J148" t="str">
        <f>PROPER(Table1[[#This Row],[Engine Status]])</f>
        <v>On</v>
      </c>
      <c r="K148">
        <v>35</v>
      </c>
      <c r="L148" t="str">
        <f>IF(Table1[[#This Row],[Battery Level]]&lt;30,"Low",IF(Table1[[#This Row],[Battery Level]]&lt;60,"Medium","High"))</f>
        <v>Medium</v>
      </c>
    </row>
    <row r="149" spans="1:12" x14ac:dyDescent="0.3">
      <c r="A149">
        <v>148</v>
      </c>
      <c r="B149">
        <v>115.31</v>
      </c>
      <c r="C149" t="str">
        <f>IF(Table1[[#This Row],[Speed]]&lt;30,"Low",IF(Table1[[#This Row],[Speed]]&lt;60,"Medium","Fast"))</f>
        <v>Fast</v>
      </c>
      <c r="D149">
        <v>-3.27</v>
      </c>
      <c r="E149" t="str">
        <f>IF(Table1[[#This Row],[Acceleration]]&gt;0,"Accelerating",IF(Table1[[#This Row],[Acceleration]]&lt;0,"Braking","Constant"))</f>
        <v>Braking</v>
      </c>
      <c r="F149">
        <v>31.77</v>
      </c>
      <c r="G149">
        <f>IF(ISBLANK(Table1[[#This Row],[Temperature]]),AVERAGE(Table1[Temperature]),Table1[[#This Row],[Temperature]])</f>
        <v>31.77</v>
      </c>
      <c r="H149">
        <f>IF(ISBLANK(Table1[[#This Row],[Temperature]]),"Unknown",Table1[[#This Row],[Temperature]])</f>
        <v>31.77</v>
      </c>
      <c r="I149" t="s">
        <v>0</v>
      </c>
      <c r="J149" t="str">
        <f>PROPER(Table1[[#This Row],[Engine Status]])</f>
        <v>On</v>
      </c>
      <c r="K149">
        <v>33</v>
      </c>
      <c r="L149" t="str">
        <f>IF(Table1[[#This Row],[Battery Level]]&lt;30,"Low",IF(Table1[[#This Row],[Battery Level]]&lt;60,"Medium","High"))</f>
        <v>Medium</v>
      </c>
    </row>
    <row r="150" spans="1:12" x14ac:dyDescent="0.3">
      <c r="A150">
        <v>149</v>
      </c>
      <c r="B150">
        <v>64.31</v>
      </c>
      <c r="C150" t="str">
        <f>IF(Table1[[#This Row],[Speed]]&lt;30,"Low",IF(Table1[[#This Row],[Speed]]&lt;60,"Medium","Fast"))</f>
        <v>Fast</v>
      </c>
      <c r="D150">
        <v>-1.2</v>
      </c>
      <c r="E150" t="str">
        <f>IF(Table1[[#This Row],[Acceleration]]&gt;0,"Accelerating",IF(Table1[[#This Row],[Acceleration]]&lt;0,"Braking","Constant"))</f>
        <v>Braking</v>
      </c>
      <c r="F150">
        <v>81.55</v>
      </c>
      <c r="G150">
        <f>IF(ISBLANK(Table1[[#This Row],[Temperature]]),AVERAGE(Table1[Temperature]),Table1[[#This Row],[Temperature]])</f>
        <v>81.55</v>
      </c>
      <c r="H150">
        <f>IF(ISBLANK(Table1[[#This Row],[Temperature]]),"Unknown",Table1[[#This Row],[Temperature]])</f>
        <v>81.55</v>
      </c>
      <c r="I150" t="s">
        <v>1</v>
      </c>
      <c r="J150" t="str">
        <f>PROPER(Table1[[#This Row],[Engine Status]])</f>
        <v>Off</v>
      </c>
      <c r="K150">
        <v>80</v>
      </c>
      <c r="L150" t="str">
        <f>IF(Table1[[#This Row],[Battery Level]]&lt;30,"Low",IF(Table1[[#This Row],[Battery Level]]&lt;60,"Medium","High"))</f>
        <v>High</v>
      </c>
    </row>
    <row r="151" spans="1:12" x14ac:dyDescent="0.3">
      <c r="A151">
        <v>150</v>
      </c>
      <c r="B151">
        <v>58.62</v>
      </c>
      <c r="C151" t="str">
        <f>IF(Table1[[#This Row],[Speed]]&lt;30,"Low",IF(Table1[[#This Row],[Speed]]&lt;60,"Medium","Fast"))</f>
        <v>Medium</v>
      </c>
      <c r="D151">
        <v>3.01</v>
      </c>
      <c r="E151" t="str">
        <f>IF(Table1[[#This Row],[Acceleration]]&gt;0,"Accelerating",IF(Table1[[#This Row],[Acceleration]]&lt;0,"Braking","Constant"))</f>
        <v>Accelerating</v>
      </c>
      <c r="G151">
        <f>IF(ISBLANK(Table1[[#This Row],[Temperature]]),AVERAGE(Table1[Temperature]),Table1[[#This Row],[Temperature]])</f>
        <v>56.31555555555552</v>
      </c>
      <c r="H151" t="str">
        <f>IF(ISBLANK(Table1[[#This Row],[Temperature]]),"Unknown",Table1[[#This Row],[Temperature]])</f>
        <v>Unknown</v>
      </c>
      <c r="I151" t="s">
        <v>0</v>
      </c>
      <c r="J151" t="str">
        <f>PROPER(Table1[[#This Row],[Engine Status]])</f>
        <v>On</v>
      </c>
      <c r="K151">
        <v>90</v>
      </c>
      <c r="L151" t="str">
        <f>IF(Table1[[#This Row],[Battery Level]]&lt;30,"Low",IF(Table1[[#This Row],[Battery Level]]&lt;60,"Medium","High"))</f>
        <v>High</v>
      </c>
    </row>
    <row r="152" spans="1:12" x14ac:dyDescent="0.3">
      <c r="A152">
        <v>151</v>
      </c>
      <c r="B152">
        <v>48.23</v>
      </c>
      <c r="C152" t="str">
        <f>IF(Table1[[#This Row],[Speed]]&lt;30,"Low",IF(Table1[[#This Row],[Speed]]&lt;60,"Medium","Fast"))</f>
        <v>Medium</v>
      </c>
      <c r="D152">
        <v>-1.08</v>
      </c>
      <c r="E152" t="str">
        <f>IF(Table1[[#This Row],[Acceleration]]&gt;0,"Accelerating",IF(Table1[[#This Row],[Acceleration]]&lt;0,"Braking","Constant"))</f>
        <v>Braking</v>
      </c>
      <c r="F152">
        <v>36.200000000000003</v>
      </c>
      <c r="G152">
        <f>IF(ISBLANK(Table1[[#This Row],[Temperature]]),AVERAGE(Table1[Temperature]),Table1[[#This Row],[Temperature]])</f>
        <v>36.200000000000003</v>
      </c>
      <c r="H152">
        <f>IF(ISBLANK(Table1[[#This Row],[Temperature]]),"Unknown",Table1[[#This Row],[Temperature]])</f>
        <v>36.200000000000003</v>
      </c>
      <c r="I152" t="s">
        <v>1</v>
      </c>
      <c r="J152" t="str">
        <f>PROPER(Table1[[#This Row],[Engine Status]])</f>
        <v>Off</v>
      </c>
      <c r="K152">
        <v>65</v>
      </c>
      <c r="L152" t="str">
        <f>IF(Table1[[#This Row],[Battery Level]]&lt;30,"Low",IF(Table1[[#This Row],[Battery Level]]&lt;60,"Medium","High"))</f>
        <v>High</v>
      </c>
    </row>
    <row r="153" spans="1:12" x14ac:dyDescent="0.3">
      <c r="A153">
        <v>152</v>
      </c>
      <c r="B153">
        <v>18.440000000000001</v>
      </c>
      <c r="C153" t="str">
        <f>IF(Table1[[#This Row],[Speed]]&lt;30,"Low",IF(Table1[[#This Row],[Speed]]&lt;60,"Medium","Fast"))</f>
        <v>Low</v>
      </c>
      <c r="D153">
        <v>2.5099999999999998</v>
      </c>
      <c r="E153" t="str">
        <f>IF(Table1[[#This Row],[Acceleration]]&gt;0,"Accelerating",IF(Table1[[#This Row],[Acceleration]]&lt;0,"Braking","Constant"))</f>
        <v>Accelerating</v>
      </c>
      <c r="G153">
        <f>IF(ISBLANK(Table1[[#This Row],[Temperature]]),AVERAGE(Table1[Temperature]),Table1[[#This Row],[Temperature]])</f>
        <v>56.31555555555552</v>
      </c>
      <c r="H153" t="str">
        <f>IF(ISBLANK(Table1[[#This Row],[Temperature]]),"Unknown",Table1[[#This Row],[Temperature]])</f>
        <v>Unknown</v>
      </c>
      <c r="I153" t="s">
        <v>0</v>
      </c>
      <c r="J153" t="str">
        <f>PROPER(Table1[[#This Row],[Engine Status]])</f>
        <v>On</v>
      </c>
      <c r="K153">
        <v>51</v>
      </c>
      <c r="L153" t="str">
        <f>IF(Table1[[#This Row],[Battery Level]]&lt;30,"Low",IF(Table1[[#This Row],[Battery Level]]&lt;60,"Medium","High"))</f>
        <v>Medium</v>
      </c>
    </row>
    <row r="154" spans="1:12" x14ac:dyDescent="0.3">
      <c r="A154">
        <v>153</v>
      </c>
      <c r="B154">
        <v>68.709999999999994</v>
      </c>
      <c r="C154" t="str">
        <f>IF(Table1[[#This Row],[Speed]]&lt;30,"Low",IF(Table1[[#This Row],[Speed]]&lt;60,"Medium","Fast"))</f>
        <v>Fast</v>
      </c>
      <c r="D154">
        <v>-3.75</v>
      </c>
      <c r="E154" t="str">
        <f>IF(Table1[[#This Row],[Acceleration]]&gt;0,"Accelerating",IF(Table1[[#This Row],[Acceleration]]&lt;0,"Braking","Constant"))</f>
        <v>Braking</v>
      </c>
      <c r="F154">
        <v>71.2</v>
      </c>
      <c r="G154">
        <f>IF(ISBLANK(Table1[[#This Row],[Temperature]]),AVERAGE(Table1[Temperature]),Table1[[#This Row],[Temperature]])</f>
        <v>71.2</v>
      </c>
      <c r="H154">
        <f>IF(ISBLANK(Table1[[#This Row],[Temperature]]),"Unknown",Table1[[#This Row],[Temperature]])</f>
        <v>71.2</v>
      </c>
      <c r="I154" t="s">
        <v>1</v>
      </c>
      <c r="J154" t="str">
        <f>PROPER(Table1[[#This Row],[Engine Status]])</f>
        <v>Off</v>
      </c>
      <c r="K154">
        <v>34</v>
      </c>
      <c r="L154" t="str">
        <f>IF(Table1[[#This Row],[Battery Level]]&lt;30,"Low",IF(Table1[[#This Row],[Battery Level]]&lt;60,"Medium","High"))</f>
        <v>Medium</v>
      </c>
    </row>
    <row r="155" spans="1:12" x14ac:dyDescent="0.3">
      <c r="A155">
        <v>154</v>
      </c>
      <c r="B155">
        <v>33.24</v>
      </c>
      <c r="C155" t="str">
        <f>IF(Table1[[#This Row],[Speed]]&lt;30,"Low",IF(Table1[[#This Row],[Speed]]&lt;60,"Medium","Fast"))</f>
        <v>Medium</v>
      </c>
      <c r="D155">
        <v>2.73</v>
      </c>
      <c r="E155" t="str">
        <f>IF(Table1[[#This Row],[Acceleration]]&gt;0,"Accelerating",IF(Table1[[#This Row],[Acceleration]]&lt;0,"Braking","Constant"))</f>
        <v>Accelerating</v>
      </c>
      <c r="F155">
        <v>87.07</v>
      </c>
      <c r="G155">
        <f>IF(ISBLANK(Table1[[#This Row],[Temperature]]),AVERAGE(Table1[Temperature]),Table1[[#This Row],[Temperature]])</f>
        <v>87.07</v>
      </c>
      <c r="H155">
        <f>IF(ISBLANK(Table1[[#This Row],[Temperature]]),"Unknown",Table1[[#This Row],[Temperature]])</f>
        <v>87.07</v>
      </c>
      <c r="I155" t="s">
        <v>0</v>
      </c>
      <c r="J155" t="str">
        <f>PROPER(Table1[[#This Row],[Engine Status]])</f>
        <v>On</v>
      </c>
      <c r="K155">
        <v>63</v>
      </c>
      <c r="L155" t="str">
        <f>IF(Table1[[#This Row],[Battery Level]]&lt;30,"Low",IF(Table1[[#This Row],[Battery Level]]&lt;60,"Medium","High"))</f>
        <v>High</v>
      </c>
    </row>
    <row r="156" spans="1:12" x14ac:dyDescent="0.3">
      <c r="A156">
        <v>155</v>
      </c>
      <c r="B156">
        <v>110.56</v>
      </c>
      <c r="C156" t="str">
        <f>IF(Table1[[#This Row],[Speed]]&lt;30,"Low",IF(Table1[[#This Row],[Speed]]&lt;60,"Medium","Fast"))</f>
        <v>Fast</v>
      </c>
      <c r="D156">
        <v>-2.63</v>
      </c>
      <c r="E156" t="str">
        <f>IF(Table1[[#This Row],[Acceleration]]&gt;0,"Accelerating",IF(Table1[[#This Row],[Acceleration]]&lt;0,"Braking","Constant"))</f>
        <v>Braking</v>
      </c>
      <c r="F156">
        <v>35.43</v>
      </c>
      <c r="G156">
        <f>IF(ISBLANK(Table1[[#This Row],[Temperature]]),AVERAGE(Table1[Temperature]),Table1[[#This Row],[Temperature]])</f>
        <v>35.43</v>
      </c>
      <c r="H156">
        <f>IF(ISBLANK(Table1[[#This Row],[Temperature]]),"Unknown",Table1[[#This Row],[Temperature]])</f>
        <v>35.43</v>
      </c>
      <c r="I156" t="s">
        <v>1</v>
      </c>
      <c r="J156" t="str">
        <f>PROPER(Table1[[#This Row],[Engine Status]])</f>
        <v>Off</v>
      </c>
      <c r="K156">
        <v>36</v>
      </c>
      <c r="L156" t="str">
        <f>IF(Table1[[#This Row],[Battery Level]]&lt;30,"Low",IF(Table1[[#This Row],[Battery Level]]&lt;60,"Medium","High"))</f>
        <v>Medium</v>
      </c>
    </row>
    <row r="157" spans="1:12" x14ac:dyDescent="0.3">
      <c r="A157">
        <v>156</v>
      </c>
      <c r="B157">
        <v>69.98</v>
      </c>
      <c r="C157" t="str">
        <f>IF(Table1[[#This Row],[Speed]]&lt;30,"Low",IF(Table1[[#This Row],[Speed]]&lt;60,"Medium","Fast"))</f>
        <v>Fast</v>
      </c>
      <c r="D157">
        <v>1.77</v>
      </c>
      <c r="E157" t="str">
        <f>IF(Table1[[#This Row],[Acceleration]]&gt;0,"Accelerating",IF(Table1[[#This Row],[Acceleration]]&lt;0,"Braking","Constant"))</f>
        <v>Accelerating</v>
      </c>
      <c r="F157">
        <v>82.03</v>
      </c>
      <c r="G157">
        <f>IF(ISBLANK(Table1[[#This Row],[Temperature]]),AVERAGE(Table1[Temperature]),Table1[[#This Row],[Temperature]])</f>
        <v>82.03</v>
      </c>
      <c r="H157">
        <f>IF(ISBLANK(Table1[[#This Row],[Temperature]]),"Unknown",Table1[[#This Row],[Temperature]])</f>
        <v>82.03</v>
      </c>
      <c r="I157" t="s">
        <v>1</v>
      </c>
      <c r="J157" t="str">
        <f>PROPER(Table1[[#This Row],[Engine Status]])</f>
        <v>Off</v>
      </c>
      <c r="K157">
        <v>60</v>
      </c>
      <c r="L157" t="str">
        <f>IF(Table1[[#This Row],[Battery Level]]&lt;30,"Low",IF(Table1[[#This Row],[Battery Level]]&lt;60,"Medium","High"))</f>
        <v>High</v>
      </c>
    </row>
    <row r="158" spans="1:12" x14ac:dyDescent="0.3">
      <c r="A158">
        <v>157</v>
      </c>
      <c r="B158">
        <v>71.14</v>
      </c>
      <c r="C158" t="str">
        <f>IF(Table1[[#This Row],[Speed]]&lt;30,"Low",IF(Table1[[#This Row],[Speed]]&lt;60,"Medium","Fast"))</f>
        <v>Fast</v>
      </c>
      <c r="D158">
        <v>0.66</v>
      </c>
      <c r="E158" t="str">
        <f>IF(Table1[[#This Row],[Acceleration]]&gt;0,"Accelerating",IF(Table1[[#This Row],[Acceleration]]&lt;0,"Braking","Constant"))</f>
        <v>Accelerating</v>
      </c>
      <c r="F158">
        <v>85.4</v>
      </c>
      <c r="G158">
        <f>IF(ISBLANK(Table1[[#This Row],[Temperature]]),AVERAGE(Table1[Temperature]),Table1[[#This Row],[Temperature]])</f>
        <v>85.4</v>
      </c>
      <c r="H158">
        <f>IF(ISBLANK(Table1[[#This Row],[Temperature]]),"Unknown",Table1[[#This Row],[Temperature]])</f>
        <v>85.4</v>
      </c>
      <c r="I158" t="s">
        <v>1</v>
      </c>
      <c r="J158" t="str">
        <f>PROPER(Table1[[#This Row],[Engine Status]])</f>
        <v>Off</v>
      </c>
      <c r="K158">
        <v>73</v>
      </c>
      <c r="L158" t="str">
        <f>IF(Table1[[#This Row],[Battery Level]]&lt;30,"Low",IF(Table1[[#This Row],[Battery Level]]&lt;60,"Medium","High"))</f>
        <v>High</v>
      </c>
    </row>
    <row r="159" spans="1:12" x14ac:dyDescent="0.3">
      <c r="A159">
        <v>158</v>
      </c>
      <c r="B159">
        <v>42.59</v>
      </c>
      <c r="C159" t="str">
        <f>IF(Table1[[#This Row],[Speed]]&lt;30,"Low",IF(Table1[[#This Row],[Speed]]&lt;60,"Medium","Fast"))</f>
        <v>Medium</v>
      </c>
      <c r="D159">
        <v>4.29</v>
      </c>
      <c r="E159" t="str">
        <f>IF(Table1[[#This Row],[Acceleration]]&gt;0,"Accelerating",IF(Table1[[#This Row],[Acceleration]]&lt;0,"Braking","Constant"))</f>
        <v>Accelerating</v>
      </c>
      <c r="F159">
        <v>84.15</v>
      </c>
      <c r="G159">
        <f>IF(ISBLANK(Table1[[#This Row],[Temperature]]),AVERAGE(Table1[Temperature]),Table1[[#This Row],[Temperature]])</f>
        <v>84.15</v>
      </c>
      <c r="H159">
        <f>IF(ISBLANK(Table1[[#This Row],[Temperature]]),"Unknown",Table1[[#This Row],[Temperature]])</f>
        <v>84.15</v>
      </c>
      <c r="I159" t="s">
        <v>1</v>
      </c>
      <c r="J159" t="str">
        <f>PROPER(Table1[[#This Row],[Engine Status]])</f>
        <v>Off</v>
      </c>
      <c r="K159">
        <v>63</v>
      </c>
      <c r="L159" t="str">
        <f>IF(Table1[[#This Row],[Battery Level]]&lt;30,"Low",IF(Table1[[#This Row],[Battery Level]]&lt;60,"Medium","High"))</f>
        <v>High</v>
      </c>
    </row>
    <row r="160" spans="1:12" x14ac:dyDescent="0.3">
      <c r="A160">
        <v>159</v>
      </c>
      <c r="B160">
        <v>6.24</v>
      </c>
      <c r="C160" t="str">
        <f>IF(Table1[[#This Row],[Speed]]&lt;30,"Low",IF(Table1[[#This Row],[Speed]]&lt;60,"Medium","Fast"))</f>
        <v>Low</v>
      </c>
      <c r="D160">
        <v>-1.1299999999999999</v>
      </c>
      <c r="E160" t="str">
        <f>IF(Table1[[#This Row],[Acceleration]]&gt;0,"Accelerating",IF(Table1[[#This Row],[Acceleration]]&lt;0,"Braking","Constant"))</f>
        <v>Braking</v>
      </c>
      <c r="F160">
        <v>64.48</v>
      </c>
      <c r="G160">
        <f>IF(ISBLANK(Table1[[#This Row],[Temperature]]),AVERAGE(Table1[Temperature]),Table1[[#This Row],[Temperature]])</f>
        <v>64.48</v>
      </c>
      <c r="H160">
        <f>IF(ISBLANK(Table1[[#This Row],[Temperature]]),"Unknown",Table1[[#This Row],[Temperature]])</f>
        <v>64.48</v>
      </c>
      <c r="I160" t="s">
        <v>1</v>
      </c>
      <c r="J160" t="str">
        <f>PROPER(Table1[[#This Row],[Engine Status]])</f>
        <v>Off</v>
      </c>
      <c r="K160">
        <v>24</v>
      </c>
      <c r="L160" t="str">
        <f>IF(Table1[[#This Row],[Battery Level]]&lt;30,"Low",IF(Table1[[#This Row],[Battery Level]]&lt;60,"Medium","High"))</f>
        <v>Low</v>
      </c>
    </row>
    <row r="161" spans="1:12" x14ac:dyDescent="0.3">
      <c r="A161">
        <v>160</v>
      </c>
      <c r="B161">
        <v>3.81</v>
      </c>
      <c r="C161" t="str">
        <f>IF(Table1[[#This Row],[Speed]]&lt;30,"Low",IF(Table1[[#This Row],[Speed]]&lt;60,"Medium","Fast"))</f>
        <v>Low</v>
      </c>
      <c r="D161">
        <v>-4.34</v>
      </c>
      <c r="E161" t="str">
        <f>IF(Table1[[#This Row],[Acceleration]]&gt;0,"Accelerating",IF(Table1[[#This Row],[Acceleration]]&lt;0,"Braking","Constant"))</f>
        <v>Braking</v>
      </c>
      <c r="F161">
        <v>64.09</v>
      </c>
      <c r="G161">
        <f>IF(ISBLANK(Table1[[#This Row],[Temperature]]),AVERAGE(Table1[Temperature]),Table1[[#This Row],[Temperature]])</f>
        <v>64.09</v>
      </c>
      <c r="H161">
        <f>IF(ISBLANK(Table1[[#This Row],[Temperature]]),"Unknown",Table1[[#This Row],[Temperature]])</f>
        <v>64.09</v>
      </c>
      <c r="I161" t="s">
        <v>1</v>
      </c>
      <c r="J161" t="str">
        <f>PROPER(Table1[[#This Row],[Engine Status]])</f>
        <v>Off</v>
      </c>
      <c r="K161">
        <v>46</v>
      </c>
      <c r="L161" t="str">
        <f>IF(Table1[[#This Row],[Battery Level]]&lt;30,"Low",IF(Table1[[#This Row],[Battery Level]]&lt;60,"Medium","High"))</f>
        <v>Medium</v>
      </c>
    </row>
    <row r="162" spans="1:12" x14ac:dyDescent="0.3">
      <c r="A162">
        <v>161</v>
      </c>
      <c r="B162">
        <v>50.8</v>
      </c>
      <c r="C162" t="str">
        <f>IF(Table1[[#This Row],[Speed]]&lt;30,"Low",IF(Table1[[#This Row],[Speed]]&lt;60,"Medium","Fast"))</f>
        <v>Medium</v>
      </c>
      <c r="D162">
        <v>-4.8099999999999996</v>
      </c>
      <c r="E162" t="str">
        <f>IF(Table1[[#This Row],[Acceleration]]&gt;0,"Accelerating",IF(Table1[[#This Row],[Acceleration]]&lt;0,"Braking","Constant"))</f>
        <v>Braking</v>
      </c>
      <c r="F162">
        <v>48.22</v>
      </c>
      <c r="G162">
        <f>IF(ISBLANK(Table1[[#This Row],[Temperature]]),AVERAGE(Table1[Temperature]),Table1[[#This Row],[Temperature]])</f>
        <v>48.22</v>
      </c>
      <c r="H162">
        <f>IF(ISBLANK(Table1[[#This Row],[Temperature]]),"Unknown",Table1[[#This Row],[Temperature]])</f>
        <v>48.22</v>
      </c>
      <c r="I162" t="s">
        <v>0</v>
      </c>
      <c r="J162" t="str">
        <f>PROPER(Table1[[#This Row],[Engine Status]])</f>
        <v>On</v>
      </c>
      <c r="K162">
        <v>97</v>
      </c>
      <c r="L162" t="str">
        <f>IF(Table1[[#This Row],[Battery Level]]&lt;30,"Low",IF(Table1[[#This Row],[Battery Level]]&lt;60,"Medium","High"))</f>
        <v>High</v>
      </c>
    </row>
    <row r="163" spans="1:12" x14ac:dyDescent="0.3">
      <c r="A163">
        <v>162</v>
      </c>
      <c r="B163">
        <v>10.15</v>
      </c>
      <c r="C163" t="str">
        <f>IF(Table1[[#This Row],[Speed]]&lt;30,"Low",IF(Table1[[#This Row],[Speed]]&lt;60,"Medium","Fast"))</f>
        <v>Low</v>
      </c>
      <c r="D163">
        <v>3.27</v>
      </c>
      <c r="E163" t="str">
        <f>IF(Table1[[#This Row],[Acceleration]]&gt;0,"Accelerating",IF(Table1[[#This Row],[Acceleration]]&lt;0,"Braking","Constant"))</f>
        <v>Accelerating</v>
      </c>
      <c r="F163">
        <v>72.67</v>
      </c>
      <c r="G163">
        <f>IF(ISBLANK(Table1[[#This Row],[Temperature]]),AVERAGE(Table1[Temperature]),Table1[[#This Row],[Temperature]])</f>
        <v>72.67</v>
      </c>
      <c r="H163">
        <f>IF(ISBLANK(Table1[[#This Row],[Temperature]]),"Unknown",Table1[[#This Row],[Temperature]])</f>
        <v>72.67</v>
      </c>
      <c r="I163" t="s">
        <v>1</v>
      </c>
      <c r="J163" t="str">
        <f>PROPER(Table1[[#This Row],[Engine Status]])</f>
        <v>Off</v>
      </c>
      <c r="K163">
        <v>98</v>
      </c>
      <c r="L163" t="str">
        <f>IF(Table1[[#This Row],[Battery Level]]&lt;30,"Low",IF(Table1[[#This Row],[Battery Level]]&lt;60,"Medium","High"))</f>
        <v>High</v>
      </c>
    </row>
    <row r="164" spans="1:12" x14ac:dyDescent="0.3">
      <c r="A164">
        <v>163</v>
      </c>
      <c r="B164">
        <v>72.819999999999993</v>
      </c>
      <c r="C164" t="str">
        <f>IF(Table1[[#This Row],[Speed]]&lt;30,"Low",IF(Table1[[#This Row],[Speed]]&lt;60,"Medium","Fast"))</f>
        <v>Fast</v>
      </c>
      <c r="D164">
        <v>0.25</v>
      </c>
      <c r="E164" t="str">
        <f>IF(Table1[[#This Row],[Acceleration]]&gt;0,"Accelerating",IF(Table1[[#This Row],[Acceleration]]&lt;0,"Braking","Constant"))</f>
        <v>Accelerating</v>
      </c>
      <c r="F164">
        <v>57.19</v>
      </c>
      <c r="G164">
        <f>IF(ISBLANK(Table1[[#This Row],[Temperature]]),AVERAGE(Table1[Temperature]),Table1[[#This Row],[Temperature]])</f>
        <v>57.19</v>
      </c>
      <c r="H164">
        <f>IF(ISBLANK(Table1[[#This Row],[Temperature]]),"Unknown",Table1[[#This Row],[Temperature]])</f>
        <v>57.19</v>
      </c>
      <c r="I164" t="s">
        <v>1</v>
      </c>
      <c r="J164" t="str">
        <f>PROPER(Table1[[#This Row],[Engine Status]])</f>
        <v>Off</v>
      </c>
      <c r="K164">
        <v>62</v>
      </c>
      <c r="L164" t="str">
        <f>IF(Table1[[#This Row],[Battery Level]]&lt;30,"Low",IF(Table1[[#This Row],[Battery Level]]&lt;60,"Medium","High"))</f>
        <v>High</v>
      </c>
    </row>
    <row r="165" spans="1:12" x14ac:dyDescent="0.3">
      <c r="A165">
        <v>164</v>
      </c>
      <c r="B165">
        <v>105.72</v>
      </c>
      <c r="C165" t="str">
        <f>IF(Table1[[#This Row],[Speed]]&lt;30,"Low",IF(Table1[[#This Row],[Speed]]&lt;60,"Medium","Fast"))</f>
        <v>Fast</v>
      </c>
      <c r="D165">
        <v>2.75</v>
      </c>
      <c r="E165" t="str">
        <f>IF(Table1[[#This Row],[Acceleration]]&gt;0,"Accelerating",IF(Table1[[#This Row],[Acceleration]]&lt;0,"Braking","Constant"))</f>
        <v>Accelerating</v>
      </c>
      <c r="F165">
        <v>67.42</v>
      </c>
      <c r="G165">
        <f>IF(ISBLANK(Table1[[#This Row],[Temperature]]),AVERAGE(Table1[Temperature]),Table1[[#This Row],[Temperature]])</f>
        <v>67.42</v>
      </c>
      <c r="H165">
        <f>IF(ISBLANK(Table1[[#This Row],[Temperature]]),"Unknown",Table1[[#This Row],[Temperature]])</f>
        <v>67.42</v>
      </c>
      <c r="I165" t="s">
        <v>1</v>
      </c>
      <c r="J165" t="str">
        <f>PROPER(Table1[[#This Row],[Engine Status]])</f>
        <v>Off</v>
      </c>
      <c r="K165">
        <v>50</v>
      </c>
      <c r="L165" t="str">
        <f>IF(Table1[[#This Row],[Battery Level]]&lt;30,"Low",IF(Table1[[#This Row],[Battery Level]]&lt;60,"Medium","High"))</f>
        <v>Medium</v>
      </c>
    </row>
    <row r="166" spans="1:12" x14ac:dyDescent="0.3">
      <c r="A166">
        <v>165</v>
      </c>
      <c r="B166">
        <v>105.95</v>
      </c>
      <c r="C166" t="str">
        <f>IF(Table1[[#This Row],[Speed]]&lt;30,"Low",IF(Table1[[#This Row],[Speed]]&lt;60,"Medium","Fast"))</f>
        <v>Fast</v>
      </c>
      <c r="D166">
        <v>-2.66</v>
      </c>
      <c r="E166" t="str">
        <f>IF(Table1[[#This Row],[Acceleration]]&gt;0,"Accelerating",IF(Table1[[#This Row],[Acceleration]]&lt;0,"Braking","Constant"))</f>
        <v>Braking</v>
      </c>
      <c r="G166">
        <f>IF(ISBLANK(Table1[[#This Row],[Temperature]]),AVERAGE(Table1[Temperature]),Table1[[#This Row],[Temperature]])</f>
        <v>56.31555555555552</v>
      </c>
      <c r="H166" t="str">
        <f>IF(ISBLANK(Table1[[#This Row],[Temperature]]),"Unknown",Table1[[#This Row],[Temperature]])</f>
        <v>Unknown</v>
      </c>
      <c r="I166" t="s">
        <v>0</v>
      </c>
      <c r="J166" t="str">
        <f>PROPER(Table1[[#This Row],[Engine Status]])</f>
        <v>On</v>
      </c>
      <c r="K166">
        <v>36</v>
      </c>
      <c r="L166" t="str">
        <f>IF(Table1[[#This Row],[Battery Level]]&lt;30,"Low",IF(Table1[[#This Row],[Battery Level]]&lt;60,"Medium","High"))</f>
        <v>Medium</v>
      </c>
    </row>
    <row r="167" spans="1:12" x14ac:dyDescent="0.3">
      <c r="A167">
        <v>166</v>
      </c>
      <c r="B167">
        <v>79.09</v>
      </c>
      <c r="C167" t="str">
        <f>IF(Table1[[#This Row],[Speed]]&lt;30,"Low",IF(Table1[[#This Row],[Speed]]&lt;60,"Medium","Fast"))</f>
        <v>Fast</v>
      </c>
      <c r="D167">
        <v>-1.55</v>
      </c>
      <c r="E167" t="str">
        <f>IF(Table1[[#This Row],[Acceleration]]&gt;0,"Accelerating",IF(Table1[[#This Row],[Acceleration]]&lt;0,"Braking","Constant"))</f>
        <v>Braking</v>
      </c>
      <c r="F167">
        <v>71.2</v>
      </c>
      <c r="G167">
        <f>IF(ISBLANK(Table1[[#This Row],[Temperature]]),AVERAGE(Table1[Temperature]),Table1[[#This Row],[Temperature]])</f>
        <v>71.2</v>
      </c>
      <c r="H167">
        <f>IF(ISBLANK(Table1[[#This Row],[Temperature]]),"Unknown",Table1[[#This Row],[Temperature]])</f>
        <v>71.2</v>
      </c>
      <c r="I167" t="s">
        <v>0</v>
      </c>
      <c r="J167" t="str">
        <f>PROPER(Table1[[#This Row],[Engine Status]])</f>
        <v>On</v>
      </c>
      <c r="K167">
        <v>73</v>
      </c>
      <c r="L167" t="str">
        <f>IF(Table1[[#This Row],[Battery Level]]&lt;30,"Low",IF(Table1[[#This Row],[Battery Level]]&lt;60,"Medium","High"))</f>
        <v>High</v>
      </c>
    </row>
    <row r="168" spans="1:12" x14ac:dyDescent="0.3">
      <c r="A168">
        <v>167</v>
      </c>
      <c r="B168">
        <v>25.35</v>
      </c>
      <c r="C168" t="str">
        <f>IF(Table1[[#This Row],[Speed]]&lt;30,"Low",IF(Table1[[#This Row],[Speed]]&lt;60,"Medium","Fast"))</f>
        <v>Low</v>
      </c>
      <c r="D168">
        <v>-4.7</v>
      </c>
      <c r="E168" t="str">
        <f>IF(Table1[[#This Row],[Acceleration]]&gt;0,"Accelerating",IF(Table1[[#This Row],[Acceleration]]&lt;0,"Braking","Constant"))</f>
        <v>Braking</v>
      </c>
      <c r="F168">
        <v>77.709999999999994</v>
      </c>
      <c r="G168">
        <f>IF(ISBLANK(Table1[[#This Row],[Temperature]]),AVERAGE(Table1[Temperature]),Table1[[#This Row],[Temperature]])</f>
        <v>77.709999999999994</v>
      </c>
      <c r="H168">
        <f>IF(ISBLANK(Table1[[#This Row],[Temperature]]),"Unknown",Table1[[#This Row],[Temperature]])</f>
        <v>77.709999999999994</v>
      </c>
      <c r="I168" t="s">
        <v>0</v>
      </c>
      <c r="J168" t="str">
        <f>PROPER(Table1[[#This Row],[Engine Status]])</f>
        <v>On</v>
      </c>
      <c r="K168">
        <v>81</v>
      </c>
      <c r="L168" t="str">
        <f>IF(Table1[[#This Row],[Battery Level]]&lt;30,"Low",IF(Table1[[#This Row],[Battery Level]]&lt;60,"Medium","High"))</f>
        <v>High</v>
      </c>
    </row>
    <row r="169" spans="1:12" x14ac:dyDescent="0.3">
      <c r="A169">
        <v>168</v>
      </c>
      <c r="B169">
        <v>103.56</v>
      </c>
      <c r="C169" t="str">
        <f>IF(Table1[[#This Row],[Speed]]&lt;30,"Low",IF(Table1[[#This Row],[Speed]]&lt;60,"Medium","Fast"))</f>
        <v>Fast</v>
      </c>
      <c r="D169">
        <v>4.6100000000000003</v>
      </c>
      <c r="E169" t="str">
        <f>IF(Table1[[#This Row],[Acceleration]]&gt;0,"Accelerating",IF(Table1[[#This Row],[Acceleration]]&lt;0,"Braking","Constant"))</f>
        <v>Accelerating</v>
      </c>
      <c r="G169">
        <f>IF(ISBLANK(Table1[[#This Row],[Temperature]]),AVERAGE(Table1[Temperature]),Table1[[#This Row],[Temperature]])</f>
        <v>56.31555555555552</v>
      </c>
      <c r="H169" t="str">
        <f>IF(ISBLANK(Table1[[#This Row],[Temperature]]),"Unknown",Table1[[#This Row],[Temperature]])</f>
        <v>Unknown</v>
      </c>
      <c r="I169" t="s">
        <v>1</v>
      </c>
      <c r="J169" t="str">
        <f>PROPER(Table1[[#This Row],[Engine Status]])</f>
        <v>Off</v>
      </c>
      <c r="K169">
        <v>51</v>
      </c>
      <c r="L169" t="str">
        <f>IF(Table1[[#This Row],[Battery Level]]&lt;30,"Low",IF(Table1[[#This Row],[Battery Level]]&lt;60,"Medium","High"))</f>
        <v>Medium</v>
      </c>
    </row>
    <row r="170" spans="1:12" x14ac:dyDescent="0.3">
      <c r="A170">
        <v>169</v>
      </c>
      <c r="B170">
        <v>106.33</v>
      </c>
      <c r="C170" t="str">
        <f>IF(Table1[[#This Row],[Speed]]&lt;30,"Low",IF(Table1[[#This Row],[Speed]]&lt;60,"Medium","Fast"))</f>
        <v>Fast</v>
      </c>
      <c r="D170">
        <v>1.68</v>
      </c>
      <c r="E170" t="str">
        <f>IF(Table1[[#This Row],[Acceleration]]&gt;0,"Accelerating",IF(Table1[[#This Row],[Acceleration]]&lt;0,"Braking","Constant"))</f>
        <v>Accelerating</v>
      </c>
      <c r="F170">
        <v>78.31</v>
      </c>
      <c r="G170">
        <f>IF(ISBLANK(Table1[[#This Row],[Temperature]]),AVERAGE(Table1[Temperature]),Table1[[#This Row],[Temperature]])</f>
        <v>78.31</v>
      </c>
      <c r="H170">
        <f>IF(ISBLANK(Table1[[#This Row],[Temperature]]),"Unknown",Table1[[#This Row],[Temperature]])</f>
        <v>78.31</v>
      </c>
      <c r="I170" t="s">
        <v>0</v>
      </c>
      <c r="J170" t="str">
        <f>PROPER(Table1[[#This Row],[Engine Status]])</f>
        <v>On</v>
      </c>
      <c r="K170">
        <v>59</v>
      </c>
      <c r="L170" t="str">
        <f>IF(Table1[[#This Row],[Battery Level]]&lt;30,"Low",IF(Table1[[#This Row],[Battery Level]]&lt;60,"Medium","High"))</f>
        <v>Medium</v>
      </c>
    </row>
    <row r="171" spans="1:12" x14ac:dyDescent="0.3">
      <c r="A171">
        <v>170</v>
      </c>
      <c r="B171">
        <v>23.6</v>
      </c>
      <c r="C171" t="str">
        <f>IF(Table1[[#This Row],[Speed]]&lt;30,"Low",IF(Table1[[#This Row],[Speed]]&lt;60,"Medium","Fast"))</f>
        <v>Low</v>
      </c>
      <c r="D171">
        <v>4.33</v>
      </c>
      <c r="E171" t="str">
        <f>IF(Table1[[#This Row],[Acceleration]]&gt;0,"Accelerating",IF(Table1[[#This Row],[Acceleration]]&lt;0,"Braking","Constant"))</f>
        <v>Accelerating</v>
      </c>
      <c r="F171">
        <v>57.82</v>
      </c>
      <c r="G171">
        <f>IF(ISBLANK(Table1[[#This Row],[Temperature]]),AVERAGE(Table1[Temperature]),Table1[[#This Row],[Temperature]])</f>
        <v>57.82</v>
      </c>
      <c r="H171">
        <f>IF(ISBLANK(Table1[[#This Row],[Temperature]]),"Unknown",Table1[[#This Row],[Temperature]])</f>
        <v>57.82</v>
      </c>
      <c r="I171" t="s">
        <v>0</v>
      </c>
      <c r="J171" t="str">
        <f>PROPER(Table1[[#This Row],[Engine Status]])</f>
        <v>On</v>
      </c>
      <c r="K171">
        <v>32</v>
      </c>
      <c r="L171" t="str">
        <f>IF(Table1[[#This Row],[Battery Level]]&lt;30,"Low",IF(Table1[[#This Row],[Battery Level]]&lt;60,"Medium","High"))</f>
        <v>Medium</v>
      </c>
    </row>
    <row r="172" spans="1:12" x14ac:dyDescent="0.3">
      <c r="A172">
        <v>171</v>
      </c>
      <c r="B172">
        <v>88.49</v>
      </c>
      <c r="C172" t="str">
        <f>IF(Table1[[#This Row],[Speed]]&lt;30,"Low",IF(Table1[[#This Row],[Speed]]&lt;60,"Medium","Fast"))</f>
        <v>Fast</v>
      </c>
      <c r="D172">
        <v>-2.35</v>
      </c>
      <c r="E172" t="str">
        <f>IF(Table1[[#This Row],[Acceleration]]&gt;0,"Accelerating",IF(Table1[[#This Row],[Acceleration]]&lt;0,"Braking","Constant"))</f>
        <v>Braking</v>
      </c>
      <c r="F172">
        <v>79.13</v>
      </c>
      <c r="G172">
        <f>IF(ISBLANK(Table1[[#This Row],[Temperature]]),AVERAGE(Table1[Temperature]),Table1[[#This Row],[Temperature]])</f>
        <v>79.13</v>
      </c>
      <c r="H172">
        <f>IF(ISBLANK(Table1[[#This Row],[Temperature]]),"Unknown",Table1[[#This Row],[Temperature]])</f>
        <v>79.13</v>
      </c>
      <c r="I172" t="s">
        <v>1</v>
      </c>
      <c r="J172" t="str">
        <f>PROPER(Table1[[#This Row],[Engine Status]])</f>
        <v>Off</v>
      </c>
      <c r="K172">
        <v>54</v>
      </c>
      <c r="L172" t="str">
        <f>IF(Table1[[#This Row],[Battery Level]]&lt;30,"Low",IF(Table1[[#This Row],[Battery Level]]&lt;60,"Medium","High"))</f>
        <v>Medium</v>
      </c>
    </row>
    <row r="173" spans="1:12" x14ac:dyDescent="0.3">
      <c r="A173">
        <v>172</v>
      </c>
      <c r="B173">
        <v>34.380000000000003</v>
      </c>
      <c r="C173" t="str">
        <f>IF(Table1[[#This Row],[Speed]]&lt;30,"Low",IF(Table1[[#This Row],[Speed]]&lt;60,"Medium","Fast"))</f>
        <v>Medium</v>
      </c>
      <c r="D173">
        <v>1.1100000000000001</v>
      </c>
      <c r="E173" t="str">
        <f>IF(Table1[[#This Row],[Acceleration]]&gt;0,"Accelerating",IF(Table1[[#This Row],[Acceleration]]&lt;0,"Braking","Constant"))</f>
        <v>Accelerating</v>
      </c>
      <c r="F173">
        <v>50.19</v>
      </c>
      <c r="G173">
        <f>IF(ISBLANK(Table1[[#This Row],[Temperature]]),AVERAGE(Table1[Temperature]),Table1[[#This Row],[Temperature]])</f>
        <v>50.19</v>
      </c>
      <c r="H173">
        <f>IF(ISBLANK(Table1[[#This Row],[Temperature]]),"Unknown",Table1[[#This Row],[Temperature]])</f>
        <v>50.19</v>
      </c>
      <c r="I173" t="s">
        <v>1</v>
      </c>
      <c r="J173" t="str">
        <f>PROPER(Table1[[#This Row],[Engine Status]])</f>
        <v>Off</v>
      </c>
      <c r="K173">
        <v>24</v>
      </c>
      <c r="L173" t="str">
        <f>IF(Table1[[#This Row],[Battery Level]]&lt;30,"Low",IF(Table1[[#This Row],[Battery Level]]&lt;60,"Medium","High"))</f>
        <v>Low</v>
      </c>
    </row>
    <row r="174" spans="1:12" x14ac:dyDescent="0.3">
      <c r="A174">
        <v>173</v>
      </c>
      <c r="B174">
        <v>96.32</v>
      </c>
      <c r="C174" t="str">
        <f>IF(Table1[[#This Row],[Speed]]&lt;30,"Low",IF(Table1[[#This Row],[Speed]]&lt;60,"Medium","Fast"))</f>
        <v>Fast</v>
      </c>
      <c r="D174">
        <v>1.78</v>
      </c>
      <c r="E174" t="str">
        <f>IF(Table1[[#This Row],[Acceleration]]&gt;0,"Accelerating",IF(Table1[[#This Row],[Acceleration]]&lt;0,"Braking","Constant"))</f>
        <v>Accelerating</v>
      </c>
      <c r="F174">
        <v>46.53</v>
      </c>
      <c r="G174">
        <f>IF(ISBLANK(Table1[[#This Row],[Temperature]]),AVERAGE(Table1[Temperature]),Table1[[#This Row],[Temperature]])</f>
        <v>46.53</v>
      </c>
      <c r="H174">
        <f>IF(ISBLANK(Table1[[#This Row],[Temperature]]),"Unknown",Table1[[#This Row],[Temperature]])</f>
        <v>46.53</v>
      </c>
      <c r="I174" t="s">
        <v>0</v>
      </c>
      <c r="J174" t="str">
        <f>PROPER(Table1[[#This Row],[Engine Status]])</f>
        <v>On</v>
      </c>
      <c r="K174">
        <v>92</v>
      </c>
      <c r="L174" t="str">
        <f>IF(Table1[[#This Row],[Battery Level]]&lt;30,"Low",IF(Table1[[#This Row],[Battery Level]]&lt;60,"Medium","High"))</f>
        <v>High</v>
      </c>
    </row>
    <row r="175" spans="1:12" x14ac:dyDescent="0.3">
      <c r="A175">
        <v>174</v>
      </c>
      <c r="B175">
        <v>119.67</v>
      </c>
      <c r="C175" t="str">
        <f>IF(Table1[[#This Row],[Speed]]&lt;30,"Low",IF(Table1[[#This Row],[Speed]]&lt;60,"Medium","Fast"))</f>
        <v>Fast</v>
      </c>
      <c r="D175">
        <v>-1.82</v>
      </c>
      <c r="E175" t="str">
        <f>IF(Table1[[#This Row],[Acceleration]]&gt;0,"Accelerating",IF(Table1[[#This Row],[Acceleration]]&lt;0,"Braking","Constant"))</f>
        <v>Braking</v>
      </c>
      <c r="F175">
        <v>84.05</v>
      </c>
      <c r="G175">
        <f>IF(ISBLANK(Table1[[#This Row],[Temperature]]),AVERAGE(Table1[Temperature]),Table1[[#This Row],[Temperature]])</f>
        <v>84.05</v>
      </c>
      <c r="H175">
        <f>IF(ISBLANK(Table1[[#This Row],[Temperature]]),"Unknown",Table1[[#This Row],[Temperature]])</f>
        <v>84.05</v>
      </c>
      <c r="I175" t="s">
        <v>1</v>
      </c>
      <c r="J175" t="str">
        <f>PROPER(Table1[[#This Row],[Engine Status]])</f>
        <v>Off</v>
      </c>
      <c r="K175">
        <v>48</v>
      </c>
      <c r="L175" t="str">
        <f>IF(Table1[[#This Row],[Battery Level]]&lt;30,"Low",IF(Table1[[#This Row],[Battery Level]]&lt;60,"Medium","High"))</f>
        <v>Medium</v>
      </c>
    </row>
    <row r="176" spans="1:12" x14ac:dyDescent="0.3">
      <c r="A176">
        <v>175</v>
      </c>
      <c r="B176">
        <v>3.6</v>
      </c>
      <c r="C176" t="str">
        <f>IF(Table1[[#This Row],[Speed]]&lt;30,"Low",IF(Table1[[#This Row],[Speed]]&lt;60,"Medium","Fast"))</f>
        <v>Low</v>
      </c>
      <c r="D176">
        <v>3.48</v>
      </c>
      <c r="E176" t="str">
        <f>IF(Table1[[#This Row],[Acceleration]]&gt;0,"Accelerating",IF(Table1[[#This Row],[Acceleration]]&lt;0,"Braking","Constant"))</f>
        <v>Accelerating</v>
      </c>
      <c r="F176">
        <v>37.58</v>
      </c>
      <c r="G176">
        <f>IF(ISBLANK(Table1[[#This Row],[Temperature]]),AVERAGE(Table1[Temperature]),Table1[[#This Row],[Temperature]])</f>
        <v>37.58</v>
      </c>
      <c r="H176">
        <f>IF(ISBLANK(Table1[[#This Row],[Temperature]]),"Unknown",Table1[[#This Row],[Temperature]])</f>
        <v>37.58</v>
      </c>
      <c r="I176" t="s">
        <v>1</v>
      </c>
      <c r="J176" t="str">
        <f>PROPER(Table1[[#This Row],[Engine Status]])</f>
        <v>Off</v>
      </c>
      <c r="K176">
        <v>89</v>
      </c>
      <c r="L176" t="str">
        <f>IF(Table1[[#This Row],[Battery Level]]&lt;30,"Low",IF(Table1[[#This Row],[Battery Level]]&lt;60,"Medium","High"))</f>
        <v>High</v>
      </c>
    </row>
    <row r="177" spans="1:12" x14ac:dyDescent="0.3">
      <c r="A177">
        <v>176</v>
      </c>
      <c r="B177">
        <v>107.68</v>
      </c>
      <c r="C177" t="str">
        <f>IF(Table1[[#This Row],[Speed]]&lt;30,"Low",IF(Table1[[#This Row],[Speed]]&lt;60,"Medium","Fast"))</f>
        <v>Fast</v>
      </c>
      <c r="D177">
        <v>4.47</v>
      </c>
      <c r="E177" t="str">
        <f>IF(Table1[[#This Row],[Acceleration]]&gt;0,"Accelerating",IF(Table1[[#This Row],[Acceleration]]&lt;0,"Braking","Constant"))</f>
        <v>Accelerating</v>
      </c>
      <c r="F177">
        <v>79.09</v>
      </c>
      <c r="G177">
        <f>IF(ISBLANK(Table1[[#This Row],[Temperature]]),AVERAGE(Table1[Temperature]),Table1[[#This Row],[Temperature]])</f>
        <v>79.09</v>
      </c>
      <c r="H177">
        <f>IF(ISBLANK(Table1[[#This Row],[Temperature]]),"Unknown",Table1[[#This Row],[Temperature]])</f>
        <v>79.09</v>
      </c>
      <c r="I177" t="s">
        <v>1</v>
      </c>
      <c r="J177" t="str">
        <f>PROPER(Table1[[#This Row],[Engine Status]])</f>
        <v>Off</v>
      </c>
      <c r="K177">
        <v>44</v>
      </c>
      <c r="L177" t="str">
        <f>IF(Table1[[#This Row],[Battery Level]]&lt;30,"Low",IF(Table1[[#This Row],[Battery Level]]&lt;60,"Medium","High"))</f>
        <v>Medium</v>
      </c>
    </row>
    <row r="178" spans="1:12" x14ac:dyDescent="0.3">
      <c r="A178">
        <v>177</v>
      </c>
      <c r="B178">
        <v>74.72</v>
      </c>
      <c r="C178" t="str">
        <f>IF(Table1[[#This Row],[Speed]]&lt;30,"Low",IF(Table1[[#This Row],[Speed]]&lt;60,"Medium","Fast"))</f>
        <v>Fast</v>
      </c>
      <c r="D178">
        <v>3.85</v>
      </c>
      <c r="E178" t="str">
        <f>IF(Table1[[#This Row],[Acceleration]]&gt;0,"Accelerating",IF(Table1[[#This Row],[Acceleration]]&lt;0,"Braking","Constant"))</f>
        <v>Accelerating</v>
      </c>
      <c r="F178">
        <v>53.88</v>
      </c>
      <c r="G178">
        <f>IF(ISBLANK(Table1[[#This Row],[Temperature]]),AVERAGE(Table1[Temperature]),Table1[[#This Row],[Temperature]])</f>
        <v>53.88</v>
      </c>
      <c r="H178">
        <f>IF(ISBLANK(Table1[[#This Row],[Temperature]]),"Unknown",Table1[[#This Row],[Temperature]])</f>
        <v>53.88</v>
      </c>
      <c r="I178" t="s">
        <v>1</v>
      </c>
      <c r="J178" t="str">
        <f>PROPER(Table1[[#This Row],[Engine Status]])</f>
        <v>Off</v>
      </c>
      <c r="K178">
        <v>41</v>
      </c>
      <c r="L178" t="str">
        <f>IF(Table1[[#This Row],[Battery Level]]&lt;30,"Low",IF(Table1[[#This Row],[Battery Level]]&lt;60,"Medium","High"))</f>
        <v>Medium</v>
      </c>
    </row>
    <row r="179" spans="1:12" x14ac:dyDescent="0.3">
      <c r="A179">
        <v>178</v>
      </c>
      <c r="B179">
        <v>116.81</v>
      </c>
      <c r="C179" t="str">
        <f>IF(Table1[[#This Row],[Speed]]&lt;30,"Low",IF(Table1[[#This Row],[Speed]]&lt;60,"Medium","Fast"))</f>
        <v>Fast</v>
      </c>
      <c r="D179">
        <v>2.39</v>
      </c>
      <c r="E179" t="str">
        <f>IF(Table1[[#This Row],[Acceleration]]&gt;0,"Accelerating",IF(Table1[[#This Row],[Acceleration]]&lt;0,"Braking","Constant"))</f>
        <v>Accelerating</v>
      </c>
      <c r="G179">
        <f>IF(ISBLANK(Table1[[#This Row],[Temperature]]),AVERAGE(Table1[Temperature]),Table1[[#This Row],[Temperature]])</f>
        <v>56.31555555555552</v>
      </c>
      <c r="H179" t="str">
        <f>IF(ISBLANK(Table1[[#This Row],[Temperature]]),"Unknown",Table1[[#This Row],[Temperature]])</f>
        <v>Unknown</v>
      </c>
      <c r="I179" t="s">
        <v>0</v>
      </c>
      <c r="J179" t="str">
        <f>PROPER(Table1[[#This Row],[Engine Status]])</f>
        <v>On</v>
      </c>
      <c r="K179">
        <v>85</v>
      </c>
      <c r="L179" t="str">
        <f>IF(Table1[[#This Row],[Battery Level]]&lt;30,"Low",IF(Table1[[#This Row],[Battery Level]]&lt;60,"Medium","High"))</f>
        <v>High</v>
      </c>
    </row>
    <row r="180" spans="1:12" x14ac:dyDescent="0.3">
      <c r="A180">
        <v>179</v>
      </c>
      <c r="B180">
        <v>55.8</v>
      </c>
      <c r="C180" t="str">
        <f>IF(Table1[[#This Row],[Speed]]&lt;30,"Low",IF(Table1[[#This Row],[Speed]]&lt;60,"Medium","Fast"))</f>
        <v>Medium</v>
      </c>
      <c r="D180">
        <v>-2.23</v>
      </c>
      <c r="E180" t="str">
        <f>IF(Table1[[#This Row],[Acceleration]]&gt;0,"Accelerating",IF(Table1[[#This Row],[Acceleration]]&lt;0,"Braking","Constant"))</f>
        <v>Braking</v>
      </c>
      <c r="F180">
        <v>41.59</v>
      </c>
      <c r="G180">
        <f>IF(ISBLANK(Table1[[#This Row],[Temperature]]),AVERAGE(Table1[Temperature]),Table1[[#This Row],[Temperature]])</f>
        <v>41.59</v>
      </c>
      <c r="H180">
        <f>IF(ISBLANK(Table1[[#This Row],[Temperature]]),"Unknown",Table1[[#This Row],[Temperature]])</f>
        <v>41.59</v>
      </c>
      <c r="I180" t="s">
        <v>1</v>
      </c>
      <c r="J180" t="str">
        <f>PROPER(Table1[[#This Row],[Engine Status]])</f>
        <v>Off</v>
      </c>
      <c r="K180">
        <v>64</v>
      </c>
      <c r="L180" t="str">
        <f>IF(Table1[[#This Row],[Battery Level]]&lt;30,"Low",IF(Table1[[#This Row],[Battery Level]]&lt;60,"Medium","High"))</f>
        <v>High</v>
      </c>
    </row>
    <row r="181" spans="1:12" x14ac:dyDescent="0.3">
      <c r="A181">
        <v>180</v>
      </c>
      <c r="B181">
        <v>101.69</v>
      </c>
      <c r="C181" t="str">
        <f>IF(Table1[[#This Row],[Speed]]&lt;30,"Low",IF(Table1[[#This Row],[Speed]]&lt;60,"Medium","Fast"))</f>
        <v>Fast</v>
      </c>
      <c r="D181">
        <v>-2.1800000000000002</v>
      </c>
      <c r="E181" t="str">
        <f>IF(Table1[[#This Row],[Acceleration]]&gt;0,"Accelerating",IF(Table1[[#This Row],[Acceleration]]&lt;0,"Braking","Constant"))</f>
        <v>Braking</v>
      </c>
      <c r="F181">
        <v>60.11</v>
      </c>
      <c r="G181">
        <f>IF(ISBLANK(Table1[[#This Row],[Temperature]]),AVERAGE(Table1[Temperature]),Table1[[#This Row],[Temperature]])</f>
        <v>60.11</v>
      </c>
      <c r="H181">
        <f>IF(ISBLANK(Table1[[#This Row],[Temperature]]),"Unknown",Table1[[#This Row],[Temperature]])</f>
        <v>60.11</v>
      </c>
      <c r="I181" t="s">
        <v>0</v>
      </c>
      <c r="J181" t="str">
        <f>PROPER(Table1[[#This Row],[Engine Status]])</f>
        <v>On</v>
      </c>
      <c r="K181">
        <v>88</v>
      </c>
      <c r="L181" t="str">
        <f>IF(Table1[[#This Row],[Battery Level]]&lt;30,"Low",IF(Table1[[#This Row],[Battery Level]]&lt;60,"Medium","High"))</f>
        <v>High</v>
      </c>
    </row>
    <row r="182" spans="1:12" x14ac:dyDescent="0.3">
      <c r="A182">
        <v>181</v>
      </c>
      <c r="B182">
        <v>7.49</v>
      </c>
      <c r="C182" t="str">
        <f>IF(Table1[[#This Row],[Speed]]&lt;30,"Low",IF(Table1[[#This Row],[Speed]]&lt;60,"Medium","Fast"))</f>
        <v>Low</v>
      </c>
      <c r="D182">
        <v>4.63</v>
      </c>
      <c r="E182" t="str">
        <f>IF(Table1[[#This Row],[Acceleration]]&gt;0,"Accelerating",IF(Table1[[#This Row],[Acceleration]]&lt;0,"Braking","Constant"))</f>
        <v>Accelerating</v>
      </c>
      <c r="F182">
        <v>42.76</v>
      </c>
      <c r="G182">
        <f>IF(ISBLANK(Table1[[#This Row],[Temperature]]),AVERAGE(Table1[Temperature]),Table1[[#This Row],[Temperature]])</f>
        <v>42.76</v>
      </c>
      <c r="H182">
        <f>IF(ISBLANK(Table1[[#This Row],[Temperature]]),"Unknown",Table1[[#This Row],[Temperature]])</f>
        <v>42.76</v>
      </c>
      <c r="I182" t="s">
        <v>0</v>
      </c>
      <c r="J182" t="str">
        <f>PROPER(Table1[[#This Row],[Engine Status]])</f>
        <v>On</v>
      </c>
      <c r="K182">
        <v>91</v>
      </c>
      <c r="L182" t="str">
        <f>IF(Table1[[#This Row],[Battery Level]]&lt;30,"Low",IF(Table1[[#This Row],[Battery Level]]&lt;60,"Medium","High"))</f>
        <v>High</v>
      </c>
    </row>
    <row r="183" spans="1:12" x14ac:dyDescent="0.3">
      <c r="A183">
        <v>182</v>
      </c>
      <c r="B183">
        <v>40.229999999999997</v>
      </c>
      <c r="C183" t="str">
        <f>IF(Table1[[#This Row],[Speed]]&lt;30,"Low",IF(Table1[[#This Row],[Speed]]&lt;60,"Medium","Fast"))</f>
        <v>Medium</v>
      </c>
      <c r="D183">
        <v>-4.9000000000000004</v>
      </c>
      <c r="E183" t="str">
        <f>IF(Table1[[#This Row],[Acceleration]]&gt;0,"Accelerating",IF(Table1[[#This Row],[Acceleration]]&lt;0,"Braking","Constant"))</f>
        <v>Braking</v>
      </c>
      <c r="F183">
        <v>22.75</v>
      </c>
      <c r="G183">
        <f>IF(ISBLANK(Table1[[#This Row],[Temperature]]),AVERAGE(Table1[Temperature]),Table1[[#This Row],[Temperature]])</f>
        <v>22.75</v>
      </c>
      <c r="H183">
        <f>IF(ISBLANK(Table1[[#This Row],[Temperature]]),"Unknown",Table1[[#This Row],[Temperature]])</f>
        <v>22.75</v>
      </c>
      <c r="I183" t="s">
        <v>0</v>
      </c>
      <c r="J183" t="str">
        <f>PROPER(Table1[[#This Row],[Engine Status]])</f>
        <v>On</v>
      </c>
      <c r="K183">
        <v>20</v>
      </c>
      <c r="L183" t="str">
        <f>IF(Table1[[#This Row],[Battery Level]]&lt;30,"Low",IF(Table1[[#This Row],[Battery Level]]&lt;60,"Medium","High"))</f>
        <v>Low</v>
      </c>
    </row>
    <row r="184" spans="1:12" x14ac:dyDescent="0.3">
      <c r="A184">
        <v>183</v>
      </c>
      <c r="B184">
        <v>8.0399999999999991</v>
      </c>
      <c r="C184" t="str">
        <f>IF(Table1[[#This Row],[Speed]]&lt;30,"Low",IF(Table1[[#This Row],[Speed]]&lt;60,"Medium","Fast"))</f>
        <v>Low</v>
      </c>
      <c r="D184">
        <v>2.16</v>
      </c>
      <c r="E184" t="str">
        <f>IF(Table1[[#This Row],[Acceleration]]&gt;0,"Accelerating",IF(Table1[[#This Row],[Acceleration]]&lt;0,"Braking","Constant"))</f>
        <v>Accelerating</v>
      </c>
      <c r="F184">
        <v>39.04</v>
      </c>
      <c r="G184">
        <f>IF(ISBLANK(Table1[[#This Row],[Temperature]]),AVERAGE(Table1[Temperature]),Table1[[#This Row],[Temperature]])</f>
        <v>39.04</v>
      </c>
      <c r="H184">
        <f>IF(ISBLANK(Table1[[#This Row],[Temperature]]),"Unknown",Table1[[#This Row],[Temperature]])</f>
        <v>39.04</v>
      </c>
      <c r="I184" t="s">
        <v>0</v>
      </c>
      <c r="J184" t="str">
        <f>PROPER(Table1[[#This Row],[Engine Status]])</f>
        <v>On</v>
      </c>
      <c r="K184">
        <v>63</v>
      </c>
      <c r="L184" t="str">
        <f>IF(Table1[[#This Row],[Battery Level]]&lt;30,"Low",IF(Table1[[#This Row],[Battery Level]]&lt;60,"Medium","High"))</f>
        <v>High</v>
      </c>
    </row>
    <row r="185" spans="1:12" x14ac:dyDescent="0.3">
      <c r="A185">
        <v>184</v>
      </c>
      <c r="B185">
        <v>117.04</v>
      </c>
      <c r="C185" t="str">
        <f>IF(Table1[[#This Row],[Speed]]&lt;30,"Low",IF(Table1[[#This Row],[Speed]]&lt;60,"Medium","Fast"))</f>
        <v>Fast</v>
      </c>
      <c r="D185">
        <v>2.06</v>
      </c>
      <c r="E185" t="str">
        <f>IF(Table1[[#This Row],[Acceleration]]&gt;0,"Accelerating",IF(Table1[[#This Row],[Acceleration]]&lt;0,"Braking","Constant"))</f>
        <v>Accelerating</v>
      </c>
      <c r="F185">
        <v>20.45</v>
      </c>
      <c r="G185">
        <f>IF(ISBLANK(Table1[[#This Row],[Temperature]]),AVERAGE(Table1[Temperature]),Table1[[#This Row],[Temperature]])</f>
        <v>20.45</v>
      </c>
      <c r="H185">
        <f>IF(ISBLANK(Table1[[#This Row],[Temperature]]),"Unknown",Table1[[#This Row],[Temperature]])</f>
        <v>20.45</v>
      </c>
      <c r="I185" t="s">
        <v>1</v>
      </c>
      <c r="J185" t="str">
        <f>PROPER(Table1[[#This Row],[Engine Status]])</f>
        <v>Off</v>
      </c>
      <c r="K185">
        <v>94</v>
      </c>
      <c r="L185" t="str">
        <f>IF(Table1[[#This Row],[Battery Level]]&lt;30,"Low",IF(Table1[[#This Row],[Battery Level]]&lt;60,"Medium","High"))</f>
        <v>High</v>
      </c>
    </row>
    <row r="186" spans="1:12" x14ac:dyDescent="0.3">
      <c r="A186">
        <v>185</v>
      </c>
      <c r="B186">
        <v>98.04</v>
      </c>
      <c r="C186" t="str">
        <f>IF(Table1[[#This Row],[Speed]]&lt;30,"Low",IF(Table1[[#This Row],[Speed]]&lt;60,"Medium","Fast"))</f>
        <v>Fast</v>
      </c>
      <c r="D186">
        <v>1.23</v>
      </c>
      <c r="E186" t="str">
        <f>IF(Table1[[#This Row],[Acceleration]]&gt;0,"Accelerating",IF(Table1[[#This Row],[Acceleration]]&lt;0,"Braking","Constant"))</f>
        <v>Accelerating</v>
      </c>
      <c r="F186">
        <v>88.48</v>
      </c>
      <c r="G186">
        <f>IF(ISBLANK(Table1[[#This Row],[Temperature]]),AVERAGE(Table1[Temperature]),Table1[[#This Row],[Temperature]])</f>
        <v>88.48</v>
      </c>
      <c r="H186">
        <f>IF(ISBLANK(Table1[[#This Row],[Temperature]]),"Unknown",Table1[[#This Row],[Temperature]])</f>
        <v>88.48</v>
      </c>
      <c r="I186" t="s">
        <v>1</v>
      </c>
      <c r="J186" t="str">
        <f>PROPER(Table1[[#This Row],[Engine Status]])</f>
        <v>Off</v>
      </c>
      <c r="K186">
        <v>58</v>
      </c>
      <c r="L186" t="str">
        <f>IF(Table1[[#This Row],[Battery Level]]&lt;30,"Low",IF(Table1[[#This Row],[Battery Level]]&lt;60,"Medium","High"))</f>
        <v>Medium</v>
      </c>
    </row>
    <row r="187" spans="1:12" x14ac:dyDescent="0.3">
      <c r="A187">
        <v>186</v>
      </c>
      <c r="B187">
        <v>102.31</v>
      </c>
      <c r="C187" t="str">
        <f>IF(Table1[[#This Row],[Speed]]&lt;30,"Low",IF(Table1[[#This Row],[Speed]]&lt;60,"Medium","Fast"))</f>
        <v>Fast</v>
      </c>
      <c r="D187">
        <v>4.9000000000000004</v>
      </c>
      <c r="E187" t="str">
        <f>IF(Table1[[#This Row],[Acceleration]]&gt;0,"Accelerating",IF(Table1[[#This Row],[Acceleration]]&lt;0,"Braking","Constant"))</f>
        <v>Accelerating</v>
      </c>
      <c r="F187">
        <v>87.6</v>
      </c>
      <c r="G187">
        <f>IF(ISBLANK(Table1[[#This Row],[Temperature]]),AVERAGE(Table1[Temperature]),Table1[[#This Row],[Temperature]])</f>
        <v>87.6</v>
      </c>
      <c r="H187">
        <f>IF(ISBLANK(Table1[[#This Row],[Temperature]]),"Unknown",Table1[[#This Row],[Temperature]])</f>
        <v>87.6</v>
      </c>
      <c r="I187" t="s">
        <v>1</v>
      </c>
      <c r="J187" t="str">
        <f>PROPER(Table1[[#This Row],[Engine Status]])</f>
        <v>Off</v>
      </c>
      <c r="K187">
        <v>73</v>
      </c>
      <c r="L187" t="str">
        <f>IF(Table1[[#This Row],[Battery Level]]&lt;30,"Low",IF(Table1[[#This Row],[Battery Level]]&lt;60,"Medium","High"))</f>
        <v>High</v>
      </c>
    </row>
    <row r="188" spans="1:12" x14ac:dyDescent="0.3">
      <c r="A188">
        <v>187</v>
      </c>
      <c r="B188">
        <v>112.56</v>
      </c>
      <c r="C188" t="str">
        <f>IF(Table1[[#This Row],[Speed]]&lt;30,"Low",IF(Table1[[#This Row],[Speed]]&lt;60,"Medium","Fast"))</f>
        <v>Fast</v>
      </c>
      <c r="D188">
        <v>-1.88</v>
      </c>
      <c r="E188" t="str">
        <f>IF(Table1[[#This Row],[Acceleration]]&gt;0,"Accelerating",IF(Table1[[#This Row],[Acceleration]]&lt;0,"Braking","Constant"))</f>
        <v>Braking</v>
      </c>
      <c r="F188">
        <v>47.66</v>
      </c>
      <c r="G188">
        <f>IF(ISBLANK(Table1[[#This Row],[Temperature]]),AVERAGE(Table1[Temperature]),Table1[[#This Row],[Temperature]])</f>
        <v>47.66</v>
      </c>
      <c r="H188">
        <f>IF(ISBLANK(Table1[[#This Row],[Temperature]]),"Unknown",Table1[[#This Row],[Temperature]])</f>
        <v>47.66</v>
      </c>
      <c r="I188" t="s">
        <v>0</v>
      </c>
      <c r="J188" t="str">
        <f>PROPER(Table1[[#This Row],[Engine Status]])</f>
        <v>On</v>
      </c>
      <c r="K188">
        <v>94</v>
      </c>
      <c r="L188" t="str">
        <f>IF(Table1[[#This Row],[Battery Level]]&lt;30,"Low",IF(Table1[[#This Row],[Battery Level]]&lt;60,"Medium","High"))</f>
        <v>High</v>
      </c>
    </row>
    <row r="189" spans="1:12" x14ac:dyDescent="0.3">
      <c r="A189">
        <v>188</v>
      </c>
      <c r="B189">
        <v>10.210000000000001</v>
      </c>
      <c r="C189" t="str">
        <f>IF(Table1[[#This Row],[Speed]]&lt;30,"Low",IF(Table1[[#This Row],[Speed]]&lt;60,"Medium","Fast"))</f>
        <v>Low</v>
      </c>
      <c r="D189">
        <v>-1.6</v>
      </c>
      <c r="E189" t="str">
        <f>IF(Table1[[#This Row],[Acceleration]]&gt;0,"Accelerating",IF(Table1[[#This Row],[Acceleration]]&lt;0,"Braking","Constant"))</f>
        <v>Braking</v>
      </c>
      <c r="F189">
        <v>70.989999999999995</v>
      </c>
      <c r="G189">
        <f>IF(ISBLANK(Table1[[#This Row],[Temperature]]),AVERAGE(Table1[Temperature]),Table1[[#This Row],[Temperature]])</f>
        <v>70.989999999999995</v>
      </c>
      <c r="H189">
        <f>IF(ISBLANK(Table1[[#This Row],[Temperature]]),"Unknown",Table1[[#This Row],[Temperature]])</f>
        <v>70.989999999999995</v>
      </c>
      <c r="I189" t="s">
        <v>0</v>
      </c>
      <c r="J189" t="str">
        <f>PROPER(Table1[[#This Row],[Engine Status]])</f>
        <v>On</v>
      </c>
      <c r="K189">
        <v>48</v>
      </c>
      <c r="L189" t="str">
        <f>IF(Table1[[#This Row],[Battery Level]]&lt;30,"Low",IF(Table1[[#This Row],[Battery Level]]&lt;60,"Medium","High"))</f>
        <v>Medium</v>
      </c>
    </row>
    <row r="190" spans="1:12" x14ac:dyDescent="0.3">
      <c r="A190">
        <v>189</v>
      </c>
      <c r="B190">
        <v>46.27</v>
      </c>
      <c r="C190" t="str">
        <f>IF(Table1[[#This Row],[Speed]]&lt;30,"Low",IF(Table1[[#This Row],[Speed]]&lt;60,"Medium","Fast"))</f>
        <v>Medium</v>
      </c>
      <c r="D190">
        <v>-4.21</v>
      </c>
      <c r="E190" t="str">
        <f>IF(Table1[[#This Row],[Acceleration]]&gt;0,"Accelerating",IF(Table1[[#This Row],[Acceleration]]&lt;0,"Braking","Constant"))</f>
        <v>Braking</v>
      </c>
      <c r="G190">
        <f>IF(ISBLANK(Table1[[#This Row],[Temperature]]),AVERAGE(Table1[Temperature]),Table1[[#This Row],[Temperature]])</f>
        <v>56.31555555555552</v>
      </c>
      <c r="H190" t="str">
        <f>IF(ISBLANK(Table1[[#This Row],[Temperature]]),"Unknown",Table1[[#This Row],[Temperature]])</f>
        <v>Unknown</v>
      </c>
      <c r="I190" t="s">
        <v>0</v>
      </c>
      <c r="J190" t="str">
        <f>PROPER(Table1[[#This Row],[Engine Status]])</f>
        <v>On</v>
      </c>
      <c r="K190">
        <v>73</v>
      </c>
      <c r="L190" t="str">
        <f>IF(Table1[[#This Row],[Battery Level]]&lt;30,"Low",IF(Table1[[#This Row],[Battery Level]]&lt;60,"Medium","High"))</f>
        <v>High</v>
      </c>
    </row>
    <row r="191" spans="1:12" x14ac:dyDescent="0.3">
      <c r="A191">
        <v>190</v>
      </c>
      <c r="B191">
        <v>8.52</v>
      </c>
      <c r="C191" t="str">
        <f>IF(Table1[[#This Row],[Speed]]&lt;30,"Low",IF(Table1[[#This Row],[Speed]]&lt;60,"Medium","Fast"))</f>
        <v>Low</v>
      </c>
      <c r="D191">
        <v>-0.56999999999999995</v>
      </c>
      <c r="E191" t="str">
        <f>IF(Table1[[#This Row],[Acceleration]]&gt;0,"Accelerating",IF(Table1[[#This Row],[Acceleration]]&lt;0,"Braking","Constant"))</f>
        <v>Braking</v>
      </c>
      <c r="F191">
        <v>66.98</v>
      </c>
      <c r="G191">
        <f>IF(ISBLANK(Table1[[#This Row],[Temperature]]),AVERAGE(Table1[Temperature]),Table1[[#This Row],[Temperature]])</f>
        <v>66.98</v>
      </c>
      <c r="H191">
        <f>IF(ISBLANK(Table1[[#This Row],[Temperature]]),"Unknown",Table1[[#This Row],[Temperature]])</f>
        <v>66.98</v>
      </c>
      <c r="I191" t="s">
        <v>1</v>
      </c>
      <c r="J191" t="str">
        <f>PROPER(Table1[[#This Row],[Engine Status]])</f>
        <v>Off</v>
      </c>
      <c r="K191">
        <v>35</v>
      </c>
      <c r="L191" t="str">
        <f>IF(Table1[[#This Row],[Battery Level]]&lt;30,"Low",IF(Table1[[#This Row],[Battery Level]]&lt;60,"Medium","High"))</f>
        <v>Medium</v>
      </c>
    </row>
    <row r="192" spans="1:12" x14ac:dyDescent="0.3">
      <c r="A192">
        <v>191</v>
      </c>
      <c r="B192">
        <v>25.3</v>
      </c>
      <c r="C192" t="str">
        <f>IF(Table1[[#This Row],[Speed]]&lt;30,"Low",IF(Table1[[#This Row],[Speed]]&lt;60,"Medium","Fast"))</f>
        <v>Low</v>
      </c>
      <c r="D192">
        <v>-2.39</v>
      </c>
      <c r="E192" t="str">
        <f>IF(Table1[[#This Row],[Acceleration]]&gt;0,"Accelerating",IF(Table1[[#This Row],[Acceleration]]&lt;0,"Braking","Constant"))</f>
        <v>Braking</v>
      </c>
      <c r="F192">
        <v>76.38</v>
      </c>
      <c r="G192">
        <f>IF(ISBLANK(Table1[[#This Row],[Temperature]]),AVERAGE(Table1[Temperature]),Table1[[#This Row],[Temperature]])</f>
        <v>76.38</v>
      </c>
      <c r="H192">
        <f>IF(ISBLANK(Table1[[#This Row],[Temperature]]),"Unknown",Table1[[#This Row],[Temperature]])</f>
        <v>76.38</v>
      </c>
      <c r="I192" t="s">
        <v>0</v>
      </c>
      <c r="J192" t="str">
        <f>PROPER(Table1[[#This Row],[Engine Status]])</f>
        <v>On</v>
      </c>
      <c r="K192">
        <v>39</v>
      </c>
      <c r="L192" t="str">
        <f>IF(Table1[[#This Row],[Battery Level]]&lt;30,"Low",IF(Table1[[#This Row],[Battery Level]]&lt;60,"Medium","High"))</f>
        <v>Medium</v>
      </c>
    </row>
    <row r="193" spans="1:12" x14ac:dyDescent="0.3">
      <c r="A193">
        <v>192</v>
      </c>
      <c r="B193">
        <v>27.52</v>
      </c>
      <c r="C193" t="str">
        <f>IF(Table1[[#This Row],[Speed]]&lt;30,"Low",IF(Table1[[#This Row],[Speed]]&lt;60,"Medium","Fast"))</f>
        <v>Low</v>
      </c>
      <c r="D193">
        <v>-1.57</v>
      </c>
      <c r="E193" t="str">
        <f>IF(Table1[[#This Row],[Acceleration]]&gt;0,"Accelerating",IF(Table1[[#This Row],[Acceleration]]&lt;0,"Braking","Constant"))</f>
        <v>Braking</v>
      </c>
      <c r="F193">
        <v>86.27</v>
      </c>
      <c r="G193">
        <f>IF(ISBLANK(Table1[[#This Row],[Temperature]]),AVERAGE(Table1[Temperature]),Table1[[#This Row],[Temperature]])</f>
        <v>86.27</v>
      </c>
      <c r="H193">
        <f>IF(ISBLANK(Table1[[#This Row],[Temperature]]),"Unknown",Table1[[#This Row],[Temperature]])</f>
        <v>86.27</v>
      </c>
      <c r="I193" t="s">
        <v>1</v>
      </c>
      <c r="J193" t="str">
        <f>PROPER(Table1[[#This Row],[Engine Status]])</f>
        <v>Off</v>
      </c>
      <c r="K193">
        <v>65</v>
      </c>
      <c r="L193" t="str">
        <f>IF(Table1[[#This Row],[Battery Level]]&lt;30,"Low",IF(Table1[[#This Row],[Battery Level]]&lt;60,"Medium","High"))</f>
        <v>High</v>
      </c>
    </row>
    <row r="194" spans="1:12" x14ac:dyDescent="0.3">
      <c r="A194">
        <v>193</v>
      </c>
      <c r="B194">
        <v>56.29</v>
      </c>
      <c r="C194" t="str">
        <f>IF(Table1[[#This Row],[Speed]]&lt;30,"Low",IF(Table1[[#This Row],[Speed]]&lt;60,"Medium","Fast"))</f>
        <v>Medium</v>
      </c>
      <c r="D194">
        <v>3.35</v>
      </c>
      <c r="E194" t="str">
        <f>IF(Table1[[#This Row],[Acceleration]]&gt;0,"Accelerating",IF(Table1[[#This Row],[Acceleration]]&lt;0,"Braking","Constant"))</f>
        <v>Accelerating</v>
      </c>
      <c r="F194">
        <v>48.01</v>
      </c>
      <c r="G194">
        <f>IF(ISBLANK(Table1[[#This Row],[Temperature]]),AVERAGE(Table1[Temperature]),Table1[[#This Row],[Temperature]])</f>
        <v>48.01</v>
      </c>
      <c r="H194">
        <f>IF(ISBLANK(Table1[[#This Row],[Temperature]]),"Unknown",Table1[[#This Row],[Temperature]])</f>
        <v>48.01</v>
      </c>
      <c r="I194" t="s">
        <v>1</v>
      </c>
      <c r="J194" t="str">
        <f>PROPER(Table1[[#This Row],[Engine Status]])</f>
        <v>Off</v>
      </c>
      <c r="K194">
        <v>86</v>
      </c>
      <c r="L194" t="str">
        <f>IF(Table1[[#This Row],[Battery Level]]&lt;30,"Low",IF(Table1[[#This Row],[Battery Level]]&lt;60,"Medium","High"))</f>
        <v>High</v>
      </c>
    </row>
    <row r="195" spans="1:12" x14ac:dyDescent="0.3">
      <c r="A195">
        <v>194</v>
      </c>
      <c r="B195">
        <v>32.229999999999997</v>
      </c>
      <c r="C195" t="str">
        <f>IF(Table1[[#This Row],[Speed]]&lt;30,"Low",IF(Table1[[#This Row],[Speed]]&lt;60,"Medium","Fast"))</f>
        <v>Medium</v>
      </c>
      <c r="D195">
        <v>4.3499999999999996</v>
      </c>
      <c r="E195" t="str">
        <f>IF(Table1[[#This Row],[Acceleration]]&gt;0,"Accelerating",IF(Table1[[#This Row],[Acceleration]]&lt;0,"Braking","Constant"))</f>
        <v>Accelerating</v>
      </c>
      <c r="F195">
        <v>74.83</v>
      </c>
      <c r="G195">
        <f>IF(ISBLANK(Table1[[#This Row],[Temperature]]),AVERAGE(Table1[Temperature]),Table1[[#This Row],[Temperature]])</f>
        <v>74.83</v>
      </c>
      <c r="H195">
        <f>IF(ISBLANK(Table1[[#This Row],[Temperature]]),"Unknown",Table1[[#This Row],[Temperature]])</f>
        <v>74.83</v>
      </c>
      <c r="I195" t="s">
        <v>1</v>
      </c>
      <c r="J195" t="str">
        <f>PROPER(Table1[[#This Row],[Engine Status]])</f>
        <v>Off</v>
      </c>
      <c r="K195">
        <v>84</v>
      </c>
      <c r="L195" t="str">
        <f>IF(Table1[[#This Row],[Battery Level]]&lt;30,"Low",IF(Table1[[#This Row],[Battery Level]]&lt;60,"Medium","High"))</f>
        <v>High</v>
      </c>
    </row>
    <row r="196" spans="1:12" x14ac:dyDescent="0.3">
      <c r="A196">
        <v>195</v>
      </c>
      <c r="B196">
        <v>12.12</v>
      </c>
      <c r="C196" t="str">
        <f>IF(Table1[[#This Row],[Speed]]&lt;30,"Low",IF(Table1[[#This Row],[Speed]]&lt;60,"Medium","Fast"))</f>
        <v>Low</v>
      </c>
      <c r="D196">
        <v>-3.14</v>
      </c>
      <c r="E196" t="str">
        <f>IF(Table1[[#This Row],[Acceleration]]&gt;0,"Accelerating",IF(Table1[[#This Row],[Acceleration]]&lt;0,"Braking","Constant"))</f>
        <v>Braking</v>
      </c>
      <c r="F196">
        <v>38.61</v>
      </c>
      <c r="G196">
        <f>IF(ISBLANK(Table1[[#This Row],[Temperature]]),AVERAGE(Table1[Temperature]),Table1[[#This Row],[Temperature]])</f>
        <v>38.61</v>
      </c>
      <c r="H196">
        <f>IF(ISBLANK(Table1[[#This Row],[Temperature]]),"Unknown",Table1[[#This Row],[Temperature]])</f>
        <v>38.61</v>
      </c>
      <c r="I196" t="s">
        <v>1</v>
      </c>
      <c r="J196" t="str">
        <f>PROPER(Table1[[#This Row],[Engine Status]])</f>
        <v>Off</v>
      </c>
      <c r="K196">
        <v>77</v>
      </c>
      <c r="L196" t="str">
        <f>IF(Table1[[#This Row],[Battery Level]]&lt;30,"Low",IF(Table1[[#This Row],[Battery Level]]&lt;60,"Medium","High"))</f>
        <v>High</v>
      </c>
    </row>
    <row r="197" spans="1:12" x14ac:dyDescent="0.3">
      <c r="A197">
        <v>196</v>
      </c>
      <c r="B197">
        <v>20.100000000000001</v>
      </c>
      <c r="C197" t="str">
        <f>IF(Table1[[#This Row],[Speed]]&lt;30,"Low",IF(Table1[[#This Row],[Speed]]&lt;60,"Medium","Fast"))</f>
        <v>Low</v>
      </c>
      <c r="D197">
        <v>-1.27</v>
      </c>
      <c r="E197" t="str">
        <f>IF(Table1[[#This Row],[Acceleration]]&gt;0,"Accelerating",IF(Table1[[#This Row],[Acceleration]]&lt;0,"Braking","Constant"))</f>
        <v>Braking</v>
      </c>
      <c r="F197">
        <v>89.32</v>
      </c>
      <c r="G197">
        <f>IF(ISBLANK(Table1[[#This Row],[Temperature]]),AVERAGE(Table1[Temperature]),Table1[[#This Row],[Temperature]])</f>
        <v>89.32</v>
      </c>
      <c r="H197">
        <f>IF(ISBLANK(Table1[[#This Row],[Temperature]]),"Unknown",Table1[[#This Row],[Temperature]])</f>
        <v>89.32</v>
      </c>
      <c r="I197" t="s">
        <v>0</v>
      </c>
      <c r="J197" t="str">
        <f>PROPER(Table1[[#This Row],[Engine Status]])</f>
        <v>On</v>
      </c>
      <c r="K197">
        <v>72</v>
      </c>
      <c r="L197" t="str">
        <f>IF(Table1[[#This Row],[Battery Level]]&lt;30,"Low",IF(Table1[[#This Row],[Battery Level]]&lt;60,"Medium","High"))</f>
        <v>High</v>
      </c>
    </row>
    <row r="198" spans="1:12" x14ac:dyDescent="0.3">
      <c r="A198">
        <v>197</v>
      </c>
      <c r="B198">
        <v>17.670000000000002</v>
      </c>
      <c r="C198" t="str">
        <f>IF(Table1[[#This Row],[Speed]]&lt;30,"Low",IF(Table1[[#This Row],[Speed]]&lt;60,"Medium","Fast"))</f>
        <v>Low</v>
      </c>
      <c r="D198">
        <v>4.29</v>
      </c>
      <c r="E198" t="str">
        <f>IF(Table1[[#This Row],[Acceleration]]&gt;0,"Accelerating",IF(Table1[[#This Row],[Acceleration]]&lt;0,"Braking","Constant"))</f>
        <v>Accelerating</v>
      </c>
      <c r="F198">
        <v>21.8</v>
      </c>
      <c r="G198">
        <f>IF(ISBLANK(Table1[[#This Row],[Temperature]]),AVERAGE(Table1[Temperature]),Table1[[#This Row],[Temperature]])</f>
        <v>21.8</v>
      </c>
      <c r="H198">
        <f>IF(ISBLANK(Table1[[#This Row],[Temperature]]),"Unknown",Table1[[#This Row],[Temperature]])</f>
        <v>21.8</v>
      </c>
      <c r="I198" t="s">
        <v>1</v>
      </c>
      <c r="J198" t="str">
        <f>PROPER(Table1[[#This Row],[Engine Status]])</f>
        <v>Off</v>
      </c>
      <c r="K198">
        <v>20</v>
      </c>
      <c r="L198" t="str">
        <f>IF(Table1[[#This Row],[Battery Level]]&lt;30,"Low",IF(Table1[[#This Row],[Battery Level]]&lt;60,"Medium","High"))</f>
        <v>Low</v>
      </c>
    </row>
    <row r="199" spans="1:12" x14ac:dyDescent="0.3">
      <c r="A199">
        <v>198</v>
      </c>
      <c r="B199">
        <v>116.77</v>
      </c>
      <c r="C199" t="str">
        <f>IF(Table1[[#This Row],[Speed]]&lt;30,"Low",IF(Table1[[#This Row],[Speed]]&lt;60,"Medium","Fast"))</f>
        <v>Fast</v>
      </c>
      <c r="D199">
        <v>-4.38</v>
      </c>
      <c r="E199" t="str">
        <f>IF(Table1[[#This Row],[Acceleration]]&gt;0,"Accelerating",IF(Table1[[#This Row],[Acceleration]]&lt;0,"Braking","Constant"))</f>
        <v>Braking</v>
      </c>
      <c r="F199">
        <v>62.25</v>
      </c>
      <c r="G199">
        <f>IF(ISBLANK(Table1[[#This Row],[Temperature]]),AVERAGE(Table1[Temperature]),Table1[[#This Row],[Temperature]])</f>
        <v>62.25</v>
      </c>
      <c r="H199">
        <f>IF(ISBLANK(Table1[[#This Row],[Temperature]]),"Unknown",Table1[[#This Row],[Temperature]])</f>
        <v>62.25</v>
      </c>
      <c r="I199" t="s">
        <v>0</v>
      </c>
      <c r="J199" t="str">
        <f>PROPER(Table1[[#This Row],[Engine Status]])</f>
        <v>On</v>
      </c>
      <c r="K199">
        <v>85</v>
      </c>
      <c r="L199" t="str">
        <f>IF(Table1[[#This Row],[Battery Level]]&lt;30,"Low",IF(Table1[[#This Row],[Battery Level]]&lt;60,"Medium","High"))</f>
        <v>High</v>
      </c>
    </row>
    <row r="200" spans="1:12" x14ac:dyDescent="0.3">
      <c r="A200">
        <v>199</v>
      </c>
      <c r="B200">
        <v>91.12</v>
      </c>
      <c r="C200" t="str">
        <f>IF(Table1[[#This Row],[Speed]]&lt;30,"Low",IF(Table1[[#This Row],[Speed]]&lt;60,"Medium","Fast"))</f>
        <v>Fast</v>
      </c>
      <c r="D200">
        <v>-4.08</v>
      </c>
      <c r="E200" t="str">
        <f>IF(Table1[[#This Row],[Acceleration]]&gt;0,"Accelerating",IF(Table1[[#This Row],[Acceleration]]&lt;0,"Braking","Constant"))</f>
        <v>Braking</v>
      </c>
      <c r="F200">
        <v>66.17</v>
      </c>
      <c r="G200">
        <f>IF(ISBLANK(Table1[[#This Row],[Temperature]]),AVERAGE(Table1[Temperature]),Table1[[#This Row],[Temperature]])</f>
        <v>66.17</v>
      </c>
      <c r="H200">
        <f>IF(ISBLANK(Table1[[#This Row],[Temperature]]),"Unknown",Table1[[#This Row],[Temperature]])</f>
        <v>66.17</v>
      </c>
      <c r="I200" t="s">
        <v>1</v>
      </c>
      <c r="J200" t="str">
        <f>PROPER(Table1[[#This Row],[Engine Status]])</f>
        <v>Off</v>
      </c>
      <c r="K200">
        <v>48</v>
      </c>
      <c r="L200" t="str">
        <f>IF(Table1[[#This Row],[Battery Level]]&lt;30,"Low",IF(Table1[[#This Row],[Battery Level]]&lt;60,"Medium","High"))</f>
        <v>Medium</v>
      </c>
    </row>
    <row r="201" spans="1:12" x14ac:dyDescent="0.3">
      <c r="A201">
        <v>200</v>
      </c>
      <c r="B201">
        <v>116.13</v>
      </c>
      <c r="C201" t="str">
        <f>IF(Table1[[#This Row],[Speed]]&lt;30,"Low",IF(Table1[[#This Row],[Speed]]&lt;60,"Medium","Fast"))</f>
        <v>Fast</v>
      </c>
      <c r="D201">
        <v>-3.37</v>
      </c>
      <c r="E201" t="str">
        <f>IF(Table1[[#This Row],[Acceleration]]&gt;0,"Accelerating",IF(Table1[[#This Row],[Acceleration]]&lt;0,"Braking","Constant"))</f>
        <v>Braking</v>
      </c>
      <c r="F201">
        <v>68.16</v>
      </c>
      <c r="G201">
        <f>IF(ISBLANK(Table1[[#This Row],[Temperature]]),AVERAGE(Table1[Temperature]),Table1[[#This Row],[Temperature]])</f>
        <v>68.16</v>
      </c>
      <c r="H201">
        <f>IF(ISBLANK(Table1[[#This Row],[Temperature]]),"Unknown",Table1[[#This Row],[Temperature]])</f>
        <v>68.16</v>
      </c>
      <c r="I201" t="s">
        <v>0</v>
      </c>
      <c r="J201" t="str">
        <f>PROPER(Table1[[#This Row],[Engine Status]])</f>
        <v>On</v>
      </c>
      <c r="K201">
        <v>89</v>
      </c>
      <c r="L201" t="str">
        <f>IF(Table1[[#This Row],[Battery Level]]&lt;30,"Low",IF(Table1[[#This Row],[Battery Level]]&lt;60,"Medium","High"))</f>
        <v>High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E3E5C-C205-4633-AD47-92BD70FB831F}">
  <dimension ref="A1:I201"/>
  <sheetViews>
    <sheetView tabSelected="1" workbookViewId="0">
      <selection activeCell="K19" sqref="K19"/>
    </sheetView>
  </sheetViews>
  <sheetFormatPr defaultRowHeight="14.4" x14ac:dyDescent="0.3"/>
  <cols>
    <col min="1" max="1" width="14.33203125" customWidth="1"/>
    <col min="2" max="2" width="8.88671875" style="1"/>
    <col min="3" max="5" width="13.33203125" style="1" customWidth="1"/>
    <col min="6" max="6" width="22" style="1" customWidth="1"/>
    <col min="7" max="7" width="12.88671875" customWidth="1"/>
    <col min="8" max="8" width="13.77734375" style="1" customWidth="1"/>
    <col min="9" max="9" width="14.6640625" customWidth="1"/>
  </cols>
  <sheetData>
    <row r="1" spans="1:9" s="2" customFormat="1" ht="46.2" customHeight="1" x14ac:dyDescent="0.3">
      <c r="A1" s="2" t="s">
        <v>4</v>
      </c>
      <c r="B1" s="3" t="s">
        <v>5</v>
      </c>
      <c r="C1" s="3" t="s">
        <v>17</v>
      </c>
      <c r="D1" s="3" t="s">
        <v>6</v>
      </c>
      <c r="E1" s="3" t="s">
        <v>19</v>
      </c>
      <c r="F1" s="3" t="s">
        <v>2</v>
      </c>
      <c r="G1" s="2" t="s">
        <v>14</v>
      </c>
      <c r="H1" s="3" t="s">
        <v>9</v>
      </c>
      <c r="I1" s="2" t="s">
        <v>10</v>
      </c>
    </row>
    <row r="2" spans="1:9" x14ac:dyDescent="0.3">
      <c r="A2">
        <v>1</v>
      </c>
      <c r="B2" s="1">
        <v>80.540000000000006</v>
      </c>
      <c r="C2" s="1" t="s">
        <v>18</v>
      </c>
      <c r="D2" s="1">
        <v>-0.6</v>
      </c>
      <c r="E2" s="1" t="s">
        <v>20</v>
      </c>
      <c r="F2" s="1">
        <v>61.66</v>
      </c>
      <c r="G2" t="s">
        <v>16</v>
      </c>
      <c r="H2" s="1">
        <v>56</v>
      </c>
      <c r="I2" t="s">
        <v>11</v>
      </c>
    </row>
    <row r="3" spans="1:9" x14ac:dyDescent="0.3">
      <c r="A3">
        <v>2</v>
      </c>
      <c r="B3" s="1">
        <v>74.459999999999994</v>
      </c>
      <c r="C3" s="1" t="s">
        <v>18</v>
      </c>
      <c r="D3" s="1">
        <v>-2.2200000000000002</v>
      </c>
      <c r="E3" s="1" t="s">
        <v>20</v>
      </c>
      <c r="F3" s="1">
        <v>30.53</v>
      </c>
      <c r="G3" t="s">
        <v>15</v>
      </c>
      <c r="H3" s="1">
        <v>41</v>
      </c>
      <c r="I3" t="s">
        <v>11</v>
      </c>
    </row>
    <row r="4" spans="1:9" x14ac:dyDescent="0.3">
      <c r="A4">
        <v>3</v>
      </c>
      <c r="B4" s="1">
        <v>89.07</v>
      </c>
      <c r="C4" s="1" t="s">
        <v>18</v>
      </c>
      <c r="D4" s="1">
        <v>2.98</v>
      </c>
      <c r="E4" s="1" t="s">
        <v>21</v>
      </c>
      <c r="F4" s="1">
        <v>56.31555555555552</v>
      </c>
      <c r="G4" t="s">
        <v>15</v>
      </c>
      <c r="H4" s="1">
        <v>77</v>
      </c>
      <c r="I4" t="s">
        <v>12</v>
      </c>
    </row>
    <row r="5" spans="1:9" x14ac:dyDescent="0.3">
      <c r="A5">
        <v>4</v>
      </c>
      <c r="B5" s="1">
        <v>20.39</v>
      </c>
      <c r="C5" s="1" t="s">
        <v>13</v>
      </c>
      <c r="D5" s="1">
        <v>-1.74</v>
      </c>
      <c r="E5" s="1" t="s">
        <v>20</v>
      </c>
      <c r="F5" s="1">
        <v>51.27</v>
      </c>
      <c r="G5" t="s">
        <v>16</v>
      </c>
      <c r="H5" s="1">
        <v>87</v>
      </c>
      <c r="I5" t="s">
        <v>12</v>
      </c>
    </row>
    <row r="6" spans="1:9" x14ac:dyDescent="0.3">
      <c r="A6">
        <v>5</v>
      </c>
      <c r="B6" s="1">
        <v>23.4</v>
      </c>
      <c r="C6" s="1" t="s">
        <v>13</v>
      </c>
      <c r="D6" s="1">
        <v>-2.0099999999999998</v>
      </c>
      <c r="E6" s="1" t="s">
        <v>20</v>
      </c>
      <c r="F6" s="1">
        <v>56.31555555555552</v>
      </c>
      <c r="G6" t="s">
        <v>15</v>
      </c>
      <c r="H6" s="1">
        <v>63</v>
      </c>
      <c r="I6" t="s">
        <v>12</v>
      </c>
    </row>
    <row r="7" spans="1:9" x14ac:dyDescent="0.3">
      <c r="A7">
        <v>6</v>
      </c>
      <c r="B7" s="1">
        <v>106.85</v>
      </c>
      <c r="C7" s="1" t="s">
        <v>18</v>
      </c>
      <c r="D7" s="1">
        <v>-2.67</v>
      </c>
      <c r="E7" s="1" t="s">
        <v>20</v>
      </c>
      <c r="F7" s="1">
        <v>37.270000000000003</v>
      </c>
      <c r="G7" t="s">
        <v>16</v>
      </c>
      <c r="H7" s="1">
        <v>53</v>
      </c>
      <c r="I7" t="s">
        <v>11</v>
      </c>
    </row>
    <row r="8" spans="1:9" x14ac:dyDescent="0.3">
      <c r="A8">
        <v>7</v>
      </c>
      <c r="B8" s="1">
        <v>90</v>
      </c>
      <c r="C8" s="1" t="s">
        <v>18</v>
      </c>
      <c r="D8" s="1">
        <v>-3.7</v>
      </c>
      <c r="E8" s="1" t="s">
        <v>20</v>
      </c>
      <c r="F8" s="1">
        <v>52.97</v>
      </c>
      <c r="G8" t="s">
        <v>16</v>
      </c>
      <c r="H8" s="1">
        <v>96</v>
      </c>
      <c r="I8" t="s">
        <v>12</v>
      </c>
    </row>
    <row r="9" spans="1:9" x14ac:dyDescent="0.3">
      <c r="A9">
        <v>8</v>
      </c>
      <c r="B9" s="1">
        <v>108.99</v>
      </c>
      <c r="C9" s="1" t="s">
        <v>18</v>
      </c>
      <c r="D9" s="1">
        <v>-2.44</v>
      </c>
      <c r="E9" s="1" t="s">
        <v>20</v>
      </c>
      <c r="F9" s="1">
        <v>66.33</v>
      </c>
      <c r="G9" t="s">
        <v>15</v>
      </c>
      <c r="H9" s="1">
        <v>61</v>
      </c>
      <c r="I9" t="s">
        <v>12</v>
      </c>
    </row>
    <row r="10" spans="1:9" x14ac:dyDescent="0.3">
      <c r="A10">
        <v>9</v>
      </c>
      <c r="B10" s="1">
        <v>91.05</v>
      </c>
      <c r="C10" s="1" t="s">
        <v>18</v>
      </c>
      <c r="D10" s="1">
        <v>-1.45</v>
      </c>
      <c r="E10" s="1" t="s">
        <v>20</v>
      </c>
      <c r="F10" s="1">
        <v>72.58</v>
      </c>
      <c r="G10" t="s">
        <v>15</v>
      </c>
      <c r="H10" s="1">
        <v>28</v>
      </c>
      <c r="I10" t="s">
        <v>13</v>
      </c>
    </row>
    <row r="11" spans="1:9" x14ac:dyDescent="0.3">
      <c r="A11">
        <v>10</v>
      </c>
      <c r="B11" s="1">
        <v>71.66</v>
      </c>
      <c r="C11" s="1" t="s">
        <v>18</v>
      </c>
      <c r="D11" s="1">
        <v>1.74</v>
      </c>
      <c r="E11" s="1" t="s">
        <v>21</v>
      </c>
      <c r="F11" s="1">
        <v>72.77</v>
      </c>
      <c r="G11" t="s">
        <v>16</v>
      </c>
      <c r="H11" s="1">
        <v>26</v>
      </c>
      <c r="I11" t="s">
        <v>13</v>
      </c>
    </row>
    <row r="12" spans="1:9" x14ac:dyDescent="0.3">
      <c r="A12">
        <v>11</v>
      </c>
      <c r="B12" s="1">
        <v>78.5</v>
      </c>
      <c r="C12" s="1" t="s">
        <v>18</v>
      </c>
      <c r="D12" s="1">
        <v>-4.37</v>
      </c>
      <c r="E12" s="1" t="s">
        <v>20</v>
      </c>
      <c r="F12" s="1">
        <v>60.45</v>
      </c>
      <c r="G12" t="s">
        <v>16</v>
      </c>
      <c r="H12" s="1">
        <v>87</v>
      </c>
      <c r="I12" t="s">
        <v>12</v>
      </c>
    </row>
    <row r="13" spans="1:9" x14ac:dyDescent="0.3">
      <c r="A13">
        <v>12</v>
      </c>
      <c r="B13" s="1">
        <v>106.7</v>
      </c>
      <c r="C13" s="1" t="s">
        <v>18</v>
      </c>
      <c r="D13" s="1">
        <v>-2.89</v>
      </c>
      <c r="E13" s="1" t="s">
        <v>20</v>
      </c>
      <c r="F13" s="1">
        <v>83.31</v>
      </c>
      <c r="G13" t="s">
        <v>15</v>
      </c>
      <c r="H13" s="1">
        <v>38</v>
      </c>
      <c r="I13" t="s">
        <v>13</v>
      </c>
    </row>
    <row r="14" spans="1:9" x14ac:dyDescent="0.3">
      <c r="A14">
        <v>13</v>
      </c>
      <c r="B14" s="1">
        <v>69.459999999999994</v>
      </c>
      <c r="C14" s="1" t="s">
        <v>18</v>
      </c>
      <c r="D14" s="1">
        <v>3.09</v>
      </c>
      <c r="E14" s="1" t="s">
        <v>21</v>
      </c>
      <c r="F14" s="1">
        <v>77.22</v>
      </c>
      <c r="G14" t="s">
        <v>16</v>
      </c>
      <c r="H14" s="1">
        <v>50</v>
      </c>
      <c r="I14" t="s">
        <v>11</v>
      </c>
    </row>
    <row r="15" spans="1:9" x14ac:dyDescent="0.3">
      <c r="A15">
        <v>14</v>
      </c>
      <c r="B15" s="1">
        <v>75.89</v>
      </c>
      <c r="C15" s="1" t="s">
        <v>18</v>
      </c>
      <c r="D15" s="1">
        <v>-3.53</v>
      </c>
      <c r="E15" s="1" t="s">
        <v>20</v>
      </c>
      <c r="F15" s="1">
        <v>72.989999999999995</v>
      </c>
      <c r="G15" t="s">
        <v>15</v>
      </c>
      <c r="H15" s="1">
        <v>54</v>
      </c>
      <c r="I15" t="s">
        <v>11</v>
      </c>
    </row>
    <row r="16" spans="1:9" x14ac:dyDescent="0.3">
      <c r="A16">
        <v>15</v>
      </c>
      <c r="B16" s="1">
        <v>18.78</v>
      </c>
      <c r="C16" s="1" t="s">
        <v>13</v>
      </c>
      <c r="D16" s="1">
        <v>-1.57</v>
      </c>
      <c r="E16" s="1" t="s">
        <v>20</v>
      </c>
      <c r="F16" s="1">
        <v>56.31555555555552</v>
      </c>
      <c r="G16" t="s">
        <v>15</v>
      </c>
      <c r="H16" s="1">
        <v>76</v>
      </c>
      <c r="I16" t="s">
        <v>12</v>
      </c>
    </row>
    <row r="17" spans="1:9" x14ac:dyDescent="0.3">
      <c r="A17">
        <v>16</v>
      </c>
      <c r="B17" s="1">
        <v>56.87</v>
      </c>
      <c r="C17" s="1" t="s">
        <v>11</v>
      </c>
      <c r="D17" s="1">
        <v>3.65</v>
      </c>
      <c r="E17" s="1" t="s">
        <v>21</v>
      </c>
      <c r="F17" s="1">
        <v>20.48</v>
      </c>
      <c r="G17" t="s">
        <v>16</v>
      </c>
      <c r="H17" s="1">
        <v>80</v>
      </c>
      <c r="I17" t="s">
        <v>12</v>
      </c>
    </row>
    <row r="18" spans="1:9" x14ac:dyDescent="0.3">
      <c r="A18">
        <v>17</v>
      </c>
      <c r="B18" s="1">
        <v>85.97</v>
      </c>
      <c r="C18" s="1" t="s">
        <v>18</v>
      </c>
      <c r="D18" s="1">
        <v>-3.45</v>
      </c>
      <c r="E18" s="1" t="s">
        <v>20</v>
      </c>
      <c r="F18" s="1">
        <v>34.869999999999997</v>
      </c>
      <c r="G18" t="s">
        <v>15</v>
      </c>
      <c r="H18" s="1">
        <v>50</v>
      </c>
      <c r="I18" t="s">
        <v>11</v>
      </c>
    </row>
    <row r="19" spans="1:9" x14ac:dyDescent="0.3">
      <c r="A19">
        <v>18</v>
      </c>
      <c r="B19" s="1">
        <v>32.51</v>
      </c>
      <c r="C19" s="1" t="s">
        <v>11</v>
      </c>
      <c r="D19" s="1">
        <v>-4.17</v>
      </c>
      <c r="E19" s="1" t="s">
        <v>20</v>
      </c>
      <c r="F19" s="1">
        <v>66.45</v>
      </c>
      <c r="G19" t="s">
        <v>15</v>
      </c>
      <c r="H19" s="1">
        <v>72</v>
      </c>
      <c r="I19" t="s">
        <v>12</v>
      </c>
    </row>
    <row r="20" spans="1:9" x14ac:dyDescent="0.3">
      <c r="A20">
        <v>19</v>
      </c>
      <c r="B20" s="1">
        <v>24.27</v>
      </c>
      <c r="C20" s="1" t="s">
        <v>13</v>
      </c>
      <c r="D20" s="1">
        <v>-0.15</v>
      </c>
      <c r="E20" s="1" t="s">
        <v>20</v>
      </c>
      <c r="F20" s="1">
        <v>48.78</v>
      </c>
      <c r="G20" t="s">
        <v>15</v>
      </c>
      <c r="H20" s="1">
        <v>51</v>
      </c>
      <c r="I20" t="s">
        <v>11</v>
      </c>
    </row>
    <row r="21" spans="1:9" x14ac:dyDescent="0.3">
      <c r="A21">
        <v>20</v>
      </c>
      <c r="B21" s="1">
        <v>37.659999999999997</v>
      </c>
      <c r="C21" s="1" t="s">
        <v>11</v>
      </c>
      <c r="D21" s="1">
        <v>-1.98</v>
      </c>
      <c r="E21" s="1" t="s">
        <v>20</v>
      </c>
      <c r="F21" s="1">
        <v>48.17</v>
      </c>
      <c r="G21" t="s">
        <v>15</v>
      </c>
      <c r="H21" s="1">
        <v>85</v>
      </c>
      <c r="I21" t="s">
        <v>12</v>
      </c>
    </row>
    <row r="22" spans="1:9" x14ac:dyDescent="0.3">
      <c r="A22">
        <v>21</v>
      </c>
      <c r="B22" s="1">
        <v>28.98</v>
      </c>
      <c r="C22" s="1" t="s">
        <v>13</v>
      </c>
      <c r="D22" s="1">
        <v>0.63</v>
      </c>
      <c r="E22" s="1" t="s">
        <v>21</v>
      </c>
      <c r="F22" s="1">
        <v>81.92</v>
      </c>
      <c r="G22" t="s">
        <v>16</v>
      </c>
      <c r="H22" s="1">
        <v>78</v>
      </c>
      <c r="I22" t="s">
        <v>12</v>
      </c>
    </row>
    <row r="23" spans="1:9" x14ac:dyDescent="0.3">
      <c r="A23">
        <v>22</v>
      </c>
      <c r="B23" s="1">
        <v>25.79</v>
      </c>
      <c r="C23" s="1" t="s">
        <v>13</v>
      </c>
      <c r="D23" s="1">
        <v>3.04</v>
      </c>
      <c r="E23" s="1" t="s">
        <v>21</v>
      </c>
      <c r="F23" s="1">
        <v>82.69</v>
      </c>
      <c r="G23" t="s">
        <v>15</v>
      </c>
      <c r="H23" s="1">
        <v>29</v>
      </c>
      <c r="I23" t="s">
        <v>13</v>
      </c>
    </row>
    <row r="24" spans="1:9" x14ac:dyDescent="0.3">
      <c r="A24">
        <v>23</v>
      </c>
      <c r="B24" s="1">
        <v>50.98</v>
      </c>
      <c r="C24" s="1" t="s">
        <v>11</v>
      </c>
      <c r="D24" s="1">
        <v>-3.63</v>
      </c>
      <c r="E24" s="1" t="s">
        <v>20</v>
      </c>
      <c r="F24" s="1">
        <v>83.64</v>
      </c>
      <c r="G24" t="s">
        <v>16</v>
      </c>
      <c r="H24" s="1">
        <v>21</v>
      </c>
      <c r="I24" t="s">
        <v>13</v>
      </c>
    </row>
    <row r="25" spans="1:9" x14ac:dyDescent="0.3">
      <c r="A25">
        <v>24</v>
      </c>
      <c r="B25" s="1">
        <v>108.94</v>
      </c>
      <c r="C25" s="1" t="s">
        <v>18</v>
      </c>
      <c r="D25" s="1">
        <v>0.81</v>
      </c>
      <c r="E25" s="1" t="s">
        <v>21</v>
      </c>
      <c r="F25" s="1">
        <v>41.97</v>
      </c>
      <c r="G25" t="s">
        <v>16</v>
      </c>
      <c r="H25" s="1">
        <v>85</v>
      </c>
      <c r="I25" t="s">
        <v>12</v>
      </c>
    </row>
    <row r="26" spans="1:9" x14ac:dyDescent="0.3">
      <c r="A26">
        <v>25</v>
      </c>
      <c r="B26" s="1">
        <v>60.85</v>
      </c>
      <c r="C26" s="1" t="s">
        <v>18</v>
      </c>
      <c r="D26" s="1">
        <v>0.06</v>
      </c>
      <c r="E26" s="1" t="s">
        <v>21</v>
      </c>
      <c r="F26" s="1">
        <v>68.37</v>
      </c>
      <c r="G26" t="s">
        <v>16</v>
      </c>
      <c r="H26" s="1">
        <v>79</v>
      </c>
      <c r="I26" t="s">
        <v>12</v>
      </c>
    </row>
    <row r="27" spans="1:9" x14ac:dyDescent="0.3">
      <c r="A27">
        <v>26</v>
      </c>
      <c r="B27" s="1">
        <v>22.55</v>
      </c>
      <c r="C27" s="1" t="s">
        <v>13</v>
      </c>
      <c r="D27" s="1">
        <v>-3.56</v>
      </c>
      <c r="E27" s="1" t="s">
        <v>20</v>
      </c>
      <c r="F27" s="1">
        <v>39.01</v>
      </c>
      <c r="G27" t="s">
        <v>16</v>
      </c>
      <c r="H27" s="1">
        <v>36</v>
      </c>
      <c r="I27" t="s">
        <v>13</v>
      </c>
    </row>
    <row r="28" spans="1:9" x14ac:dyDescent="0.3">
      <c r="A28">
        <v>27</v>
      </c>
      <c r="B28" s="1">
        <v>9.24</v>
      </c>
      <c r="C28" s="1" t="s">
        <v>13</v>
      </c>
      <c r="D28" s="1">
        <v>1.24</v>
      </c>
      <c r="E28" s="1" t="s">
        <v>21</v>
      </c>
      <c r="F28" s="1">
        <v>33.340000000000003</v>
      </c>
      <c r="G28" t="s">
        <v>16</v>
      </c>
      <c r="H28" s="1">
        <v>35</v>
      </c>
      <c r="I28" t="s">
        <v>13</v>
      </c>
    </row>
    <row r="29" spans="1:9" x14ac:dyDescent="0.3">
      <c r="A29">
        <v>28</v>
      </c>
      <c r="B29" s="1">
        <v>83.54</v>
      </c>
      <c r="C29" s="1" t="s">
        <v>18</v>
      </c>
      <c r="D29" s="1">
        <v>-2.2599999999999998</v>
      </c>
      <c r="E29" s="1" t="s">
        <v>20</v>
      </c>
      <c r="F29" s="1">
        <v>32.92</v>
      </c>
      <c r="G29" t="s">
        <v>16</v>
      </c>
      <c r="H29" s="1">
        <v>35</v>
      </c>
      <c r="I29" t="s">
        <v>13</v>
      </c>
    </row>
    <row r="30" spans="1:9" x14ac:dyDescent="0.3">
      <c r="A30">
        <v>29</v>
      </c>
      <c r="B30" s="1">
        <v>45.94</v>
      </c>
      <c r="C30" s="1" t="s">
        <v>11</v>
      </c>
      <c r="D30" s="1">
        <v>-0.12</v>
      </c>
      <c r="E30" s="1" t="s">
        <v>20</v>
      </c>
      <c r="F30" s="1">
        <v>43.95</v>
      </c>
      <c r="G30" t="s">
        <v>15</v>
      </c>
      <c r="H30" s="1">
        <v>65</v>
      </c>
      <c r="I30" t="s">
        <v>12</v>
      </c>
    </row>
    <row r="31" spans="1:9" x14ac:dyDescent="0.3">
      <c r="A31">
        <v>30</v>
      </c>
      <c r="B31" s="1">
        <v>98.62</v>
      </c>
      <c r="C31" s="1" t="s">
        <v>18</v>
      </c>
      <c r="D31" s="1">
        <v>-4.18</v>
      </c>
      <c r="E31" s="1" t="s">
        <v>20</v>
      </c>
      <c r="F31" s="1">
        <v>50.1</v>
      </c>
      <c r="G31" t="s">
        <v>16</v>
      </c>
      <c r="H31" s="1">
        <v>58</v>
      </c>
      <c r="I31" t="s">
        <v>11</v>
      </c>
    </row>
    <row r="32" spans="1:9" x14ac:dyDescent="0.3">
      <c r="A32">
        <v>31</v>
      </c>
      <c r="B32" s="1">
        <v>79.14</v>
      </c>
      <c r="C32" s="1" t="s">
        <v>18</v>
      </c>
      <c r="D32" s="1">
        <v>-0.4</v>
      </c>
      <c r="E32" s="1" t="s">
        <v>20</v>
      </c>
      <c r="F32" s="1">
        <v>78.17</v>
      </c>
      <c r="G32" t="s">
        <v>15</v>
      </c>
      <c r="H32" s="1">
        <v>50</v>
      </c>
      <c r="I32" t="s">
        <v>11</v>
      </c>
    </row>
    <row r="33" spans="1:9" x14ac:dyDescent="0.3">
      <c r="A33">
        <v>32</v>
      </c>
      <c r="B33" s="1">
        <v>95.55</v>
      </c>
      <c r="C33" s="1" t="s">
        <v>18</v>
      </c>
      <c r="D33" s="1">
        <v>-1.94</v>
      </c>
      <c r="E33" s="1" t="s">
        <v>20</v>
      </c>
      <c r="F33" s="1">
        <v>28.39</v>
      </c>
      <c r="G33" t="s">
        <v>16</v>
      </c>
      <c r="H33" s="1">
        <v>20</v>
      </c>
      <c r="I33" t="s">
        <v>13</v>
      </c>
    </row>
    <row r="34" spans="1:9" x14ac:dyDescent="0.3">
      <c r="A34">
        <v>33</v>
      </c>
      <c r="B34" s="1">
        <v>32.630000000000003</v>
      </c>
      <c r="C34" s="1" t="s">
        <v>11</v>
      </c>
      <c r="D34" s="1">
        <v>3.22</v>
      </c>
      <c r="E34" s="1" t="s">
        <v>21</v>
      </c>
      <c r="F34" s="1">
        <v>71.44</v>
      </c>
      <c r="G34" t="s">
        <v>15</v>
      </c>
      <c r="H34" s="1">
        <v>30</v>
      </c>
      <c r="I34" t="s">
        <v>13</v>
      </c>
    </row>
    <row r="35" spans="1:9" x14ac:dyDescent="0.3">
      <c r="A35">
        <v>34</v>
      </c>
      <c r="B35" s="1">
        <v>83.08</v>
      </c>
      <c r="C35" s="1" t="s">
        <v>18</v>
      </c>
      <c r="D35" s="1">
        <v>-4.43</v>
      </c>
      <c r="E35" s="1" t="s">
        <v>20</v>
      </c>
      <c r="F35" s="1">
        <v>57.2</v>
      </c>
      <c r="G35" t="s">
        <v>15</v>
      </c>
      <c r="H35" s="1">
        <v>23</v>
      </c>
      <c r="I35" t="s">
        <v>13</v>
      </c>
    </row>
    <row r="36" spans="1:9" x14ac:dyDescent="0.3">
      <c r="A36">
        <v>35</v>
      </c>
      <c r="B36" s="1">
        <v>31.69</v>
      </c>
      <c r="C36" s="1" t="s">
        <v>11</v>
      </c>
      <c r="D36" s="1">
        <v>-0.81</v>
      </c>
      <c r="E36" s="1" t="s">
        <v>20</v>
      </c>
      <c r="F36" s="1">
        <v>40.159999999999997</v>
      </c>
      <c r="G36" t="s">
        <v>16</v>
      </c>
      <c r="H36" s="1">
        <v>90</v>
      </c>
      <c r="I36" t="s">
        <v>12</v>
      </c>
    </row>
    <row r="37" spans="1:9" x14ac:dyDescent="0.3">
      <c r="A37">
        <v>36</v>
      </c>
      <c r="B37" s="1">
        <v>112.69</v>
      </c>
      <c r="C37" s="1" t="s">
        <v>18</v>
      </c>
      <c r="D37" s="1">
        <v>-0.42</v>
      </c>
      <c r="E37" s="1" t="s">
        <v>20</v>
      </c>
      <c r="F37" s="1">
        <v>54.5</v>
      </c>
      <c r="G37" t="s">
        <v>15</v>
      </c>
      <c r="H37" s="1">
        <v>45</v>
      </c>
      <c r="I37" t="s">
        <v>11</v>
      </c>
    </row>
    <row r="38" spans="1:9" x14ac:dyDescent="0.3">
      <c r="A38">
        <v>37</v>
      </c>
      <c r="B38" s="1">
        <v>76.36</v>
      </c>
      <c r="C38" s="1" t="s">
        <v>18</v>
      </c>
      <c r="D38" s="1">
        <v>2.25</v>
      </c>
      <c r="E38" s="1" t="s">
        <v>21</v>
      </c>
      <c r="F38" s="1">
        <v>41</v>
      </c>
      <c r="G38" t="s">
        <v>15</v>
      </c>
      <c r="H38" s="1">
        <v>69</v>
      </c>
      <c r="I38" t="s">
        <v>12</v>
      </c>
    </row>
    <row r="39" spans="1:9" x14ac:dyDescent="0.3">
      <c r="A39">
        <v>38</v>
      </c>
      <c r="B39" s="1">
        <v>38.94</v>
      </c>
      <c r="C39" s="1" t="s">
        <v>11</v>
      </c>
      <c r="D39" s="1">
        <v>0.74</v>
      </c>
      <c r="E39" s="1" t="s">
        <v>21</v>
      </c>
      <c r="F39" s="1">
        <v>61.73</v>
      </c>
      <c r="G39" t="s">
        <v>16</v>
      </c>
      <c r="H39" s="1">
        <v>31</v>
      </c>
      <c r="I39" t="s">
        <v>13</v>
      </c>
    </row>
    <row r="40" spans="1:9" x14ac:dyDescent="0.3">
      <c r="A40">
        <v>39</v>
      </c>
      <c r="B40" s="1">
        <v>32.340000000000003</v>
      </c>
      <c r="C40" s="1" t="s">
        <v>11</v>
      </c>
      <c r="D40" s="1">
        <v>1.67</v>
      </c>
      <c r="E40" s="1" t="s">
        <v>21</v>
      </c>
      <c r="F40" s="1">
        <v>50.37</v>
      </c>
      <c r="G40" t="s">
        <v>15</v>
      </c>
      <c r="H40" s="1">
        <v>94</v>
      </c>
      <c r="I40" t="s">
        <v>12</v>
      </c>
    </row>
    <row r="41" spans="1:9" x14ac:dyDescent="0.3">
      <c r="A41">
        <v>40</v>
      </c>
      <c r="B41" s="1">
        <v>22.91</v>
      </c>
      <c r="C41" s="1" t="s">
        <v>13</v>
      </c>
      <c r="D41" s="1">
        <v>2.77</v>
      </c>
      <c r="E41" s="1" t="s">
        <v>21</v>
      </c>
      <c r="F41" s="1">
        <v>31.51</v>
      </c>
      <c r="G41" t="s">
        <v>16</v>
      </c>
      <c r="H41" s="1">
        <v>84</v>
      </c>
      <c r="I41" t="s">
        <v>12</v>
      </c>
    </row>
    <row r="42" spans="1:9" x14ac:dyDescent="0.3">
      <c r="A42">
        <v>41</v>
      </c>
      <c r="B42" s="1">
        <v>83.36</v>
      </c>
      <c r="C42" s="1" t="s">
        <v>18</v>
      </c>
      <c r="D42" s="1">
        <v>3.62</v>
      </c>
      <c r="E42" s="1" t="s">
        <v>21</v>
      </c>
      <c r="F42" s="1">
        <v>28.16</v>
      </c>
      <c r="G42" t="s">
        <v>15</v>
      </c>
      <c r="H42" s="1">
        <v>66</v>
      </c>
      <c r="I42" t="s">
        <v>12</v>
      </c>
    </row>
    <row r="43" spans="1:9" x14ac:dyDescent="0.3">
      <c r="A43">
        <v>42</v>
      </c>
      <c r="B43" s="1">
        <v>26.25</v>
      </c>
      <c r="C43" s="1" t="s">
        <v>13</v>
      </c>
      <c r="D43" s="1">
        <v>-1.86</v>
      </c>
      <c r="E43" s="1" t="s">
        <v>20</v>
      </c>
      <c r="F43" s="1">
        <v>58.27</v>
      </c>
      <c r="G43" t="s">
        <v>15</v>
      </c>
      <c r="H43" s="1">
        <v>72</v>
      </c>
      <c r="I43" t="s">
        <v>12</v>
      </c>
    </row>
    <row r="44" spans="1:9" x14ac:dyDescent="0.3">
      <c r="A44">
        <v>43</v>
      </c>
      <c r="B44" s="1">
        <v>71.44</v>
      </c>
      <c r="C44" s="1" t="s">
        <v>18</v>
      </c>
      <c r="D44" s="1">
        <v>0.38</v>
      </c>
      <c r="E44" s="1" t="s">
        <v>21</v>
      </c>
      <c r="F44" s="1">
        <v>83.17</v>
      </c>
      <c r="G44" t="s">
        <v>16</v>
      </c>
      <c r="H44" s="1">
        <v>90</v>
      </c>
      <c r="I44" t="s">
        <v>12</v>
      </c>
    </row>
    <row r="45" spans="1:9" x14ac:dyDescent="0.3">
      <c r="A45">
        <v>44</v>
      </c>
      <c r="B45" s="1">
        <v>31.76</v>
      </c>
      <c r="C45" s="1" t="s">
        <v>11</v>
      </c>
      <c r="D45" s="1">
        <v>3.4</v>
      </c>
      <c r="E45" s="1" t="s">
        <v>21</v>
      </c>
      <c r="F45" s="1">
        <v>56.31555555555552</v>
      </c>
      <c r="G45" t="s">
        <v>15</v>
      </c>
      <c r="H45" s="1">
        <v>21</v>
      </c>
      <c r="I45" t="s">
        <v>13</v>
      </c>
    </row>
    <row r="46" spans="1:9" x14ac:dyDescent="0.3">
      <c r="A46">
        <v>45</v>
      </c>
      <c r="B46" s="1">
        <v>79.44</v>
      </c>
      <c r="C46" s="1" t="s">
        <v>18</v>
      </c>
      <c r="D46" s="1">
        <v>4.8899999999999997</v>
      </c>
      <c r="E46" s="1" t="s">
        <v>21</v>
      </c>
      <c r="F46" s="1">
        <v>71.31</v>
      </c>
      <c r="G46" t="s">
        <v>16</v>
      </c>
      <c r="H46" s="1">
        <v>43</v>
      </c>
      <c r="I46" t="s">
        <v>11</v>
      </c>
    </row>
    <row r="47" spans="1:9" x14ac:dyDescent="0.3">
      <c r="A47">
        <v>46</v>
      </c>
      <c r="B47" s="1">
        <v>97.79</v>
      </c>
      <c r="C47" s="1" t="s">
        <v>18</v>
      </c>
      <c r="D47" s="1">
        <v>3.9</v>
      </c>
      <c r="E47" s="1" t="s">
        <v>21</v>
      </c>
      <c r="F47" s="1">
        <v>66.11</v>
      </c>
      <c r="G47" t="s">
        <v>15</v>
      </c>
      <c r="H47" s="1">
        <v>23</v>
      </c>
      <c r="I47" t="s">
        <v>13</v>
      </c>
    </row>
    <row r="48" spans="1:9" x14ac:dyDescent="0.3">
      <c r="A48">
        <v>47</v>
      </c>
      <c r="B48" s="1">
        <v>93.36</v>
      </c>
      <c r="C48" s="1" t="s">
        <v>18</v>
      </c>
      <c r="D48" s="1">
        <v>-1.29</v>
      </c>
      <c r="E48" s="1" t="s">
        <v>20</v>
      </c>
      <c r="F48" s="1">
        <v>85.21</v>
      </c>
      <c r="G48" t="s">
        <v>16</v>
      </c>
      <c r="H48" s="1">
        <v>38</v>
      </c>
      <c r="I48" t="s">
        <v>13</v>
      </c>
    </row>
    <row r="49" spans="1:9" x14ac:dyDescent="0.3">
      <c r="A49">
        <v>48</v>
      </c>
      <c r="B49" s="1">
        <v>91.3</v>
      </c>
      <c r="C49" s="1" t="s">
        <v>18</v>
      </c>
      <c r="D49" s="1">
        <v>-3.05</v>
      </c>
      <c r="E49" s="1" t="s">
        <v>20</v>
      </c>
      <c r="F49" s="1">
        <v>56.31555555555552</v>
      </c>
      <c r="G49" t="s">
        <v>16</v>
      </c>
      <c r="H49" s="1">
        <v>45</v>
      </c>
      <c r="I49" t="s">
        <v>11</v>
      </c>
    </row>
    <row r="50" spans="1:9" x14ac:dyDescent="0.3">
      <c r="A50">
        <v>49</v>
      </c>
      <c r="B50" s="1">
        <v>22.53</v>
      </c>
      <c r="C50" s="1" t="s">
        <v>13</v>
      </c>
      <c r="D50" s="1">
        <v>-0.11</v>
      </c>
      <c r="E50" s="1" t="s">
        <v>20</v>
      </c>
      <c r="F50" s="1">
        <v>59.66</v>
      </c>
      <c r="G50" t="s">
        <v>16</v>
      </c>
      <c r="H50" s="1">
        <v>94</v>
      </c>
      <c r="I50" t="s">
        <v>12</v>
      </c>
    </row>
    <row r="51" spans="1:9" x14ac:dyDescent="0.3">
      <c r="A51">
        <v>50</v>
      </c>
      <c r="B51" s="1">
        <v>10.61</v>
      </c>
      <c r="C51" s="1" t="s">
        <v>13</v>
      </c>
      <c r="D51" s="1">
        <v>2.42</v>
      </c>
      <c r="E51" s="1" t="s">
        <v>21</v>
      </c>
      <c r="F51" s="1">
        <v>65.989999999999995</v>
      </c>
      <c r="G51" t="s">
        <v>16</v>
      </c>
      <c r="H51" s="1">
        <v>59</v>
      </c>
      <c r="I51" t="s">
        <v>11</v>
      </c>
    </row>
    <row r="52" spans="1:9" x14ac:dyDescent="0.3">
      <c r="A52">
        <v>51</v>
      </c>
      <c r="B52" s="1">
        <v>83.87</v>
      </c>
      <c r="C52" s="1" t="s">
        <v>18</v>
      </c>
      <c r="D52" s="1">
        <v>-7.0000000000000007E-2</v>
      </c>
      <c r="E52" s="1" t="s">
        <v>20</v>
      </c>
      <c r="F52" s="1">
        <v>82.89</v>
      </c>
      <c r="G52" t="s">
        <v>16</v>
      </c>
      <c r="H52" s="1">
        <v>69</v>
      </c>
      <c r="I52" t="s">
        <v>12</v>
      </c>
    </row>
    <row r="53" spans="1:9" x14ac:dyDescent="0.3">
      <c r="A53">
        <v>52</v>
      </c>
      <c r="B53" s="1">
        <v>44.2</v>
      </c>
      <c r="C53" s="1" t="s">
        <v>11</v>
      </c>
      <c r="D53" s="1">
        <v>-0.17</v>
      </c>
      <c r="E53" s="1" t="s">
        <v>20</v>
      </c>
      <c r="F53" s="1">
        <v>47.97</v>
      </c>
      <c r="G53" t="s">
        <v>15</v>
      </c>
      <c r="H53" s="1">
        <v>62</v>
      </c>
      <c r="I53" t="s">
        <v>12</v>
      </c>
    </row>
    <row r="54" spans="1:9" x14ac:dyDescent="0.3">
      <c r="A54">
        <v>53</v>
      </c>
      <c r="B54" s="1">
        <v>51.88</v>
      </c>
      <c r="C54" s="1" t="s">
        <v>11</v>
      </c>
      <c r="D54" s="1">
        <v>3.38</v>
      </c>
      <c r="E54" s="1" t="s">
        <v>21</v>
      </c>
      <c r="F54" s="1">
        <v>42.88</v>
      </c>
      <c r="G54" t="s">
        <v>16</v>
      </c>
      <c r="H54" s="1">
        <v>94</v>
      </c>
      <c r="I54" t="s">
        <v>12</v>
      </c>
    </row>
    <row r="55" spans="1:9" x14ac:dyDescent="0.3">
      <c r="A55">
        <v>54</v>
      </c>
      <c r="B55" s="1">
        <v>3.74</v>
      </c>
      <c r="C55" s="1" t="s">
        <v>13</v>
      </c>
      <c r="D55" s="1">
        <v>-1.39</v>
      </c>
      <c r="E55" s="1" t="s">
        <v>20</v>
      </c>
      <c r="F55" s="1">
        <v>20.76</v>
      </c>
      <c r="G55" t="s">
        <v>15</v>
      </c>
      <c r="H55" s="1">
        <v>86</v>
      </c>
      <c r="I55" t="s">
        <v>12</v>
      </c>
    </row>
    <row r="56" spans="1:9" x14ac:dyDescent="0.3">
      <c r="A56">
        <v>55</v>
      </c>
      <c r="B56" s="1">
        <v>31.15</v>
      </c>
      <c r="C56" s="1" t="s">
        <v>11</v>
      </c>
      <c r="D56" s="1">
        <v>3.6</v>
      </c>
      <c r="E56" s="1" t="s">
        <v>21</v>
      </c>
      <c r="F56" s="1">
        <v>56.31555555555552</v>
      </c>
      <c r="G56" t="s">
        <v>15</v>
      </c>
      <c r="H56" s="1">
        <v>31</v>
      </c>
      <c r="I56" t="s">
        <v>13</v>
      </c>
    </row>
    <row r="57" spans="1:9" x14ac:dyDescent="0.3">
      <c r="A57">
        <v>56</v>
      </c>
      <c r="B57" s="1">
        <v>4.04</v>
      </c>
      <c r="C57" s="1" t="s">
        <v>13</v>
      </c>
      <c r="D57" s="1">
        <v>-0.93</v>
      </c>
      <c r="E57" s="1" t="s">
        <v>20</v>
      </c>
      <c r="F57" s="1">
        <v>76.069999999999993</v>
      </c>
      <c r="G57" t="s">
        <v>15</v>
      </c>
      <c r="H57" s="1">
        <v>86</v>
      </c>
      <c r="I57" t="s">
        <v>12</v>
      </c>
    </row>
    <row r="58" spans="1:9" x14ac:dyDescent="0.3">
      <c r="A58">
        <v>57</v>
      </c>
      <c r="B58" s="1">
        <v>105.5</v>
      </c>
      <c r="C58" s="1" t="s">
        <v>18</v>
      </c>
      <c r="D58" s="1">
        <v>-1.72</v>
      </c>
      <c r="E58" s="1" t="s">
        <v>20</v>
      </c>
      <c r="F58" s="1">
        <v>27.31</v>
      </c>
      <c r="G58" t="s">
        <v>16</v>
      </c>
      <c r="H58" s="1">
        <v>46</v>
      </c>
      <c r="I58" t="s">
        <v>11</v>
      </c>
    </row>
    <row r="59" spans="1:9" x14ac:dyDescent="0.3">
      <c r="A59">
        <v>58</v>
      </c>
      <c r="B59" s="1">
        <v>29.21</v>
      </c>
      <c r="C59" s="1" t="s">
        <v>13</v>
      </c>
      <c r="D59" s="1">
        <v>-0.46</v>
      </c>
      <c r="E59" s="1" t="s">
        <v>20</v>
      </c>
      <c r="F59" s="1">
        <v>60.38</v>
      </c>
      <c r="G59" t="s">
        <v>16</v>
      </c>
      <c r="H59" s="1">
        <v>73</v>
      </c>
      <c r="I59" t="s">
        <v>12</v>
      </c>
    </row>
    <row r="60" spans="1:9" x14ac:dyDescent="0.3">
      <c r="A60">
        <v>59</v>
      </c>
      <c r="B60" s="1">
        <v>66.88</v>
      </c>
      <c r="C60" s="1" t="s">
        <v>18</v>
      </c>
      <c r="D60" s="1">
        <v>2.62</v>
      </c>
      <c r="E60" s="1" t="s">
        <v>21</v>
      </c>
      <c r="F60" s="1">
        <v>52.48</v>
      </c>
      <c r="G60" t="s">
        <v>15</v>
      </c>
      <c r="H60" s="1">
        <v>85</v>
      </c>
      <c r="I60" t="s">
        <v>12</v>
      </c>
    </row>
    <row r="61" spans="1:9" x14ac:dyDescent="0.3">
      <c r="A61">
        <v>60</v>
      </c>
      <c r="B61" s="1">
        <v>4.68</v>
      </c>
      <c r="C61" s="1" t="s">
        <v>13</v>
      </c>
      <c r="D61" s="1">
        <v>-3.74</v>
      </c>
      <c r="E61" s="1" t="s">
        <v>20</v>
      </c>
      <c r="F61" s="1">
        <v>28.31</v>
      </c>
      <c r="G61" t="s">
        <v>15</v>
      </c>
      <c r="H61" s="1">
        <v>68</v>
      </c>
      <c r="I61" t="s">
        <v>12</v>
      </c>
    </row>
    <row r="62" spans="1:9" x14ac:dyDescent="0.3">
      <c r="A62">
        <v>61</v>
      </c>
      <c r="B62" s="1">
        <v>80.02</v>
      </c>
      <c r="C62" s="1" t="s">
        <v>18</v>
      </c>
      <c r="D62" s="1">
        <v>-3.04</v>
      </c>
      <c r="E62" s="1" t="s">
        <v>20</v>
      </c>
      <c r="F62" s="1">
        <v>88.64</v>
      </c>
      <c r="G62" t="s">
        <v>15</v>
      </c>
      <c r="H62" s="1">
        <v>35</v>
      </c>
      <c r="I62" t="s">
        <v>13</v>
      </c>
    </row>
    <row r="63" spans="1:9" x14ac:dyDescent="0.3">
      <c r="A63">
        <v>62</v>
      </c>
      <c r="B63" s="1">
        <v>38.76</v>
      </c>
      <c r="C63" s="1" t="s">
        <v>11</v>
      </c>
      <c r="D63" s="1">
        <v>4.51</v>
      </c>
      <c r="E63" s="1" t="s">
        <v>21</v>
      </c>
      <c r="F63" s="1">
        <v>35.03</v>
      </c>
      <c r="G63" t="s">
        <v>16</v>
      </c>
      <c r="H63" s="1">
        <v>21</v>
      </c>
      <c r="I63" t="s">
        <v>13</v>
      </c>
    </row>
    <row r="64" spans="1:9" x14ac:dyDescent="0.3">
      <c r="A64">
        <v>63</v>
      </c>
      <c r="B64" s="1">
        <v>107.75</v>
      </c>
      <c r="C64" s="1" t="s">
        <v>18</v>
      </c>
      <c r="D64" s="1">
        <v>-3.25</v>
      </c>
      <c r="E64" s="1" t="s">
        <v>20</v>
      </c>
      <c r="F64" s="1">
        <v>24.71</v>
      </c>
      <c r="G64" t="s">
        <v>15</v>
      </c>
      <c r="H64" s="1">
        <v>79</v>
      </c>
      <c r="I64" t="s">
        <v>12</v>
      </c>
    </row>
    <row r="65" spans="1:9" x14ac:dyDescent="0.3">
      <c r="A65">
        <v>64</v>
      </c>
      <c r="B65" s="1">
        <v>106.57</v>
      </c>
      <c r="C65" s="1" t="s">
        <v>18</v>
      </c>
      <c r="D65" s="1">
        <v>0.68</v>
      </c>
      <c r="E65" s="1" t="s">
        <v>21</v>
      </c>
      <c r="F65" s="1">
        <v>61.64</v>
      </c>
      <c r="G65" t="s">
        <v>16</v>
      </c>
      <c r="H65" s="1">
        <v>73</v>
      </c>
      <c r="I65" t="s">
        <v>12</v>
      </c>
    </row>
    <row r="66" spans="1:9" x14ac:dyDescent="0.3">
      <c r="A66">
        <v>65</v>
      </c>
      <c r="B66" s="1">
        <v>39.03</v>
      </c>
      <c r="C66" s="1" t="s">
        <v>11</v>
      </c>
      <c r="D66" s="1">
        <v>0.79</v>
      </c>
      <c r="E66" s="1" t="s">
        <v>21</v>
      </c>
      <c r="F66" s="1">
        <v>71.72</v>
      </c>
      <c r="G66" t="s">
        <v>15</v>
      </c>
      <c r="H66" s="1">
        <v>49</v>
      </c>
      <c r="I66" t="s">
        <v>11</v>
      </c>
    </row>
    <row r="67" spans="1:9" x14ac:dyDescent="0.3">
      <c r="A67">
        <v>66</v>
      </c>
      <c r="B67" s="1">
        <v>108.12</v>
      </c>
      <c r="C67" s="1" t="s">
        <v>18</v>
      </c>
      <c r="D67" s="1">
        <v>-0.1</v>
      </c>
      <c r="E67" s="1" t="s">
        <v>20</v>
      </c>
      <c r="F67" s="1">
        <v>22.27</v>
      </c>
      <c r="G67" t="s">
        <v>15</v>
      </c>
      <c r="H67" s="1">
        <v>57</v>
      </c>
      <c r="I67" t="s">
        <v>11</v>
      </c>
    </row>
    <row r="68" spans="1:9" x14ac:dyDescent="0.3">
      <c r="A68">
        <v>67</v>
      </c>
      <c r="B68" s="1">
        <v>119.54</v>
      </c>
      <c r="C68" s="1" t="s">
        <v>18</v>
      </c>
      <c r="D68" s="1">
        <v>1.45</v>
      </c>
      <c r="E68" s="1" t="s">
        <v>21</v>
      </c>
      <c r="F68" s="1">
        <v>66.11</v>
      </c>
      <c r="G68" t="s">
        <v>15</v>
      </c>
      <c r="H68" s="1">
        <v>47</v>
      </c>
      <c r="I68" t="s">
        <v>11</v>
      </c>
    </row>
    <row r="69" spans="1:9" x14ac:dyDescent="0.3">
      <c r="A69">
        <v>68</v>
      </c>
      <c r="B69" s="1">
        <v>99.05</v>
      </c>
      <c r="C69" s="1" t="s">
        <v>18</v>
      </c>
      <c r="D69" s="1">
        <v>-2.7</v>
      </c>
      <c r="E69" s="1" t="s">
        <v>20</v>
      </c>
      <c r="F69" s="1">
        <v>57.26</v>
      </c>
      <c r="G69" t="s">
        <v>15</v>
      </c>
      <c r="H69" s="1">
        <v>44</v>
      </c>
      <c r="I69" t="s">
        <v>11</v>
      </c>
    </row>
    <row r="70" spans="1:9" x14ac:dyDescent="0.3">
      <c r="A70">
        <v>69</v>
      </c>
      <c r="B70" s="1">
        <v>101.38</v>
      </c>
      <c r="C70" s="1" t="s">
        <v>18</v>
      </c>
      <c r="D70" s="1">
        <v>0.53</v>
      </c>
      <c r="E70" s="1" t="s">
        <v>21</v>
      </c>
      <c r="F70" s="1">
        <v>27.23</v>
      </c>
      <c r="G70" t="s">
        <v>16</v>
      </c>
      <c r="H70" s="1">
        <v>29</v>
      </c>
      <c r="I70" t="s">
        <v>13</v>
      </c>
    </row>
    <row r="71" spans="1:9" x14ac:dyDescent="0.3">
      <c r="A71">
        <v>70</v>
      </c>
      <c r="B71" s="1">
        <v>29.88</v>
      </c>
      <c r="C71" s="1" t="s">
        <v>13</v>
      </c>
      <c r="D71" s="1">
        <v>-1.28</v>
      </c>
      <c r="E71" s="1" t="s">
        <v>20</v>
      </c>
      <c r="F71" s="1">
        <v>32.08</v>
      </c>
      <c r="G71" t="s">
        <v>15</v>
      </c>
      <c r="H71" s="1">
        <v>79</v>
      </c>
      <c r="I71" t="s">
        <v>12</v>
      </c>
    </row>
    <row r="72" spans="1:9" x14ac:dyDescent="0.3">
      <c r="A72">
        <v>71</v>
      </c>
      <c r="B72" s="1">
        <v>69.2</v>
      </c>
      <c r="C72" s="1" t="s">
        <v>18</v>
      </c>
      <c r="D72" s="1">
        <v>1.62</v>
      </c>
      <c r="E72" s="1" t="s">
        <v>21</v>
      </c>
      <c r="F72" s="1">
        <v>56.31555555555552</v>
      </c>
      <c r="G72" t="s">
        <v>16</v>
      </c>
      <c r="H72" s="1">
        <v>61</v>
      </c>
      <c r="I72" t="s">
        <v>12</v>
      </c>
    </row>
    <row r="73" spans="1:9" x14ac:dyDescent="0.3">
      <c r="A73">
        <v>72</v>
      </c>
      <c r="B73" s="1">
        <v>8.07</v>
      </c>
      <c r="C73" s="1" t="s">
        <v>13</v>
      </c>
      <c r="D73" s="1">
        <v>-3.59</v>
      </c>
      <c r="E73" s="1" t="s">
        <v>20</v>
      </c>
      <c r="F73" s="1">
        <v>40.75</v>
      </c>
      <c r="G73" t="s">
        <v>16</v>
      </c>
      <c r="H73" s="1">
        <v>59</v>
      </c>
      <c r="I73" t="s">
        <v>11</v>
      </c>
    </row>
    <row r="74" spans="1:9" x14ac:dyDescent="0.3">
      <c r="A74">
        <v>73</v>
      </c>
      <c r="B74" s="1">
        <v>11.39</v>
      </c>
      <c r="C74" s="1" t="s">
        <v>13</v>
      </c>
      <c r="D74" s="1">
        <v>0.71</v>
      </c>
      <c r="E74" s="1" t="s">
        <v>21</v>
      </c>
      <c r="F74" s="1">
        <v>85.68</v>
      </c>
      <c r="G74" t="s">
        <v>15</v>
      </c>
      <c r="H74" s="1">
        <v>96</v>
      </c>
      <c r="I74" t="s">
        <v>12</v>
      </c>
    </row>
    <row r="75" spans="1:9" x14ac:dyDescent="0.3">
      <c r="A75">
        <v>74</v>
      </c>
      <c r="B75" s="1">
        <v>119.87</v>
      </c>
      <c r="C75" s="1" t="s">
        <v>18</v>
      </c>
      <c r="D75" s="1">
        <v>-3.15</v>
      </c>
      <c r="E75" s="1" t="s">
        <v>20</v>
      </c>
      <c r="F75" s="1">
        <v>77.31</v>
      </c>
      <c r="G75" t="s">
        <v>16</v>
      </c>
      <c r="H75" s="1">
        <v>61</v>
      </c>
      <c r="I75" t="s">
        <v>12</v>
      </c>
    </row>
    <row r="76" spans="1:9" x14ac:dyDescent="0.3">
      <c r="A76">
        <v>75</v>
      </c>
      <c r="B76" s="1">
        <v>39.200000000000003</v>
      </c>
      <c r="C76" s="1" t="s">
        <v>11</v>
      </c>
      <c r="D76" s="1">
        <v>-2.21</v>
      </c>
      <c r="E76" s="1" t="s">
        <v>20</v>
      </c>
      <c r="F76" s="1">
        <v>88.85</v>
      </c>
      <c r="G76" t="s">
        <v>15</v>
      </c>
      <c r="H76" s="1">
        <v>66</v>
      </c>
      <c r="I76" t="s">
        <v>12</v>
      </c>
    </row>
    <row r="77" spans="1:9" x14ac:dyDescent="0.3">
      <c r="A77">
        <v>76</v>
      </c>
      <c r="B77" s="1">
        <v>89.78</v>
      </c>
      <c r="C77" s="1" t="s">
        <v>18</v>
      </c>
      <c r="D77" s="1">
        <v>-2.81</v>
      </c>
      <c r="E77" s="1" t="s">
        <v>20</v>
      </c>
      <c r="F77" s="1">
        <v>38.18</v>
      </c>
      <c r="G77" t="s">
        <v>16</v>
      </c>
      <c r="H77" s="1">
        <v>56</v>
      </c>
      <c r="I77" t="s">
        <v>11</v>
      </c>
    </row>
    <row r="78" spans="1:9" x14ac:dyDescent="0.3">
      <c r="A78">
        <v>77</v>
      </c>
      <c r="B78" s="1">
        <v>96.8</v>
      </c>
      <c r="C78" s="1" t="s">
        <v>18</v>
      </c>
      <c r="D78" s="1">
        <v>-3.17</v>
      </c>
      <c r="E78" s="1" t="s">
        <v>20</v>
      </c>
      <c r="F78" s="1">
        <v>87.88</v>
      </c>
      <c r="G78" t="s">
        <v>16</v>
      </c>
      <c r="H78" s="1">
        <v>99</v>
      </c>
      <c r="I78" t="s">
        <v>12</v>
      </c>
    </row>
    <row r="79" spans="1:9" x14ac:dyDescent="0.3">
      <c r="A79">
        <v>78</v>
      </c>
      <c r="B79" s="1">
        <v>102.96</v>
      </c>
      <c r="C79" s="1" t="s">
        <v>18</v>
      </c>
      <c r="D79" s="1">
        <v>3.26</v>
      </c>
      <c r="E79" s="1" t="s">
        <v>21</v>
      </c>
      <c r="F79" s="1">
        <v>50.19</v>
      </c>
      <c r="G79" t="s">
        <v>16</v>
      </c>
      <c r="H79" s="1">
        <v>41</v>
      </c>
      <c r="I79" t="s">
        <v>11</v>
      </c>
    </row>
    <row r="80" spans="1:9" x14ac:dyDescent="0.3">
      <c r="A80">
        <v>79</v>
      </c>
      <c r="B80" s="1">
        <v>119.72</v>
      </c>
      <c r="C80" s="1" t="s">
        <v>18</v>
      </c>
      <c r="D80" s="1">
        <v>-2.14</v>
      </c>
      <c r="E80" s="1" t="s">
        <v>20</v>
      </c>
      <c r="F80" s="1">
        <v>44.33</v>
      </c>
      <c r="G80" t="s">
        <v>15</v>
      </c>
      <c r="H80" s="1">
        <v>76</v>
      </c>
      <c r="I80" t="s">
        <v>12</v>
      </c>
    </row>
    <row r="81" spans="1:9" x14ac:dyDescent="0.3">
      <c r="A81">
        <v>80</v>
      </c>
      <c r="B81" s="1">
        <v>28.98</v>
      </c>
      <c r="C81" s="1" t="s">
        <v>13</v>
      </c>
      <c r="D81" s="1">
        <v>4.2699999999999996</v>
      </c>
      <c r="E81" s="1" t="s">
        <v>21</v>
      </c>
      <c r="F81" s="1">
        <v>23.52</v>
      </c>
      <c r="G81" t="s">
        <v>16</v>
      </c>
      <c r="H81" s="1">
        <v>46</v>
      </c>
      <c r="I81" t="s">
        <v>11</v>
      </c>
    </row>
    <row r="82" spans="1:9" x14ac:dyDescent="0.3">
      <c r="A82">
        <v>81</v>
      </c>
      <c r="B82" s="1">
        <v>4.84</v>
      </c>
      <c r="C82" s="1" t="s">
        <v>13</v>
      </c>
      <c r="D82" s="1">
        <v>4.7</v>
      </c>
      <c r="E82" s="1" t="s">
        <v>21</v>
      </c>
      <c r="F82" s="1">
        <v>23.69</v>
      </c>
      <c r="G82" t="s">
        <v>16</v>
      </c>
      <c r="H82" s="1">
        <v>60</v>
      </c>
      <c r="I82" t="s">
        <v>12</v>
      </c>
    </row>
    <row r="83" spans="1:9" x14ac:dyDescent="0.3">
      <c r="A83">
        <v>82</v>
      </c>
      <c r="B83" s="1">
        <v>49.34</v>
      </c>
      <c r="C83" s="1" t="s">
        <v>11</v>
      </c>
      <c r="D83" s="1">
        <v>0.71</v>
      </c>
      <c r="E83" s="1" t="s">
        <v>21</v>
      </c>
      <c r="F83" s="1">
        <v>68.44</v>
      </c>
      <c r="G83" t="s">
        <v>15</v>
      </c>
      <c r="H83" s="1">
        <v>99</v>
      </c>
      <c r="I83" t="s">
        <v>12</v>
      </c>
    </row>
    <row r="84" spans="1:9" x14ac:dyDescent="0.3">
      <c r="A84">
        <v>83</v>
      </c>
      <c r="B84" s="1">
        <v>15.61</v>
      </c>
      <c r="C84" s="1" t="s">
        <v>13</v>
      </c>
      <c r="D84" s="1">
        <v>-3.57</v>
      </c>
      <c r="E84" s="1" t="s">
        <v>20</v>
      </c>
      <c r="F84" s="1">
        <v>52.06</v>
      </c>
      <c r="G84" t="s">
        <v>15</v>
      </c>
      <c r="H84" s="1">
        <v>53</v>
      </c>
      <c r="I84" t="s">
        <v>11</v>
      </c>
    </row>
    <row r="85" spans="1:9" x14ac:dyDescent="0.3">
      <c r="A85">
        <v>84</v>
      </c>
      <c r="B85" s="1">
        <v>2.69</v>
      </c>
      <c r="C85" s="1" t="s">
        <v>13</v>
      </c>
      <c r="D85" s="1">
        <v>-1.25</v>
      </c>
      <c r="E85" s="1" t="s">
        <v>20</v>
      </c>
      <c r="F85" s="1">
        <v>56.31555555555552</v>
      </c>
      <c r="G85" t="s">
        <v>16</v>
      </c>
      <c r="H85" s="1">
        <v>51</v>
      </c>
      <c r="I85" t="s">
        <v>11</v>
      </c>
    </row>
    <row r="86" spans="1:9" x14ac:dyDescent="0.3">
      <c r="A86">
        <v>85</v>
      </c>
      <c r="B86" s="1">
        <v>43.25</v>
      </c>
      <c r="C86" s="1" t="s">
        <v>11</v>
      </c>
      <c r="D86" s="1">
        <v>2.98</v>
      </c>
      <c r="E86" s="1" t="s">
        <v>21</v>
      </c>
      <c r="F86" s="1">
        <v>62.98</v>
      </c>
      <c r="G86" t="s">
        <v>15</v>
      </c>
      <c r="H86" s="1">
        <v>85</v>
      </c>
      <c r="I86" t="s">
        <v>12</v>
      </c>
    </row>
    <row r="87" spans="1:9" x14ac:dyDescent="0.3">
      <c r="A87">
        <v>86</v>
      </c>
      <c r="B87" s="1">
        <v>94.05</v>
      </c>
      <c r="C87" s="1" t="s">
        <v>18</v>
      </c>
      <c r="D87" s="1">
        <v>-1.33</v>
      </c>
      <c r="E87" s="1" t="s">
        <v>20</v>
      </c>
      <c r="F87" s="1">
        <v>37.700000000000003</v>
      </c>
      <c r="G87" t="s">
        <v>16</v>
      </c>
      <c r="H87" s="1">
        <v>31</v>
      </c>
      <c r="I87" t="s">
        <v>13</v>
      </c>
    </row>
    <row r="88" spans="1:9" x14ac:dyDescent="0.3">
      <c r="A88">
        <v>87</v>
      </c>
      <c r="B88" s="1">
        <v>67.94</v>
      </c>
      <c r="C88" s="1" t="s">
        <v>18</v>
      </c>
      <c r="D88" s="1">
        <v>-4.13</v>
      </c>
      <c r="E88" s="1" t="s">
        <v>20</v>
      </c>
      <c r="F88" s="1">
        <v>60.43</v>
      </c>
      <c r="G88" t="s">
        <v>15</v>
      </c>
      <c r="H88" s="1">
        <v>59</v>
      </c>
      <c r="I88" t="s">
        <v>11</v>
      </c>
    </row>
    <row r="89" spans="1:9" x14ac:dyDescent="0.3">
      <c r="A89">
        <v>88</v>
      </c>
      <c r="B89" s="1">
        <v>37.53</v>
      </c>
      <c r="C89" s="1" t="s">
        <v>11</v>
      </c>
      <c r="D89" s="1">
        <v>0.56999999999999995</v>
      </c>
      <c r="E89" s="1" t="s">
        <v>21</v>
      </c>
      <c r="F89" s="1">
        <v>45.14</v>
      </c>
      <c r="G89" t="s">
        <v>15</v>
      </c>
      <c r="H89" s="1">
        <v>92</v>
      </c>
      <c r="I89" t="s">
        <v>12</v>
      </c>
    </row>
    <row r="90" spans="1:9" x14ac:dyDescent="0.3">
      <c r="A90">
        <v>89</v>
      </c>
      <c r="B90" s="1">
        <v>78.52</v>
      </c>
      <c r="C90" s="1" t="s">
        <v>18</v>
      </c>
      <c r="D90" s="1">
        <v>3.45</v>
      </c>
      <c r="E90" s="1" t="s">
        <v>21</v>
      </c>
      <c r="F90" s="1">
        <v>77.650000000000006</v>
      </c>
      <c r="G90" t="s">
        <v>15</v>
      </c>
      <c r="H90" s="1">
        <v>95</v>
      </c>
      <c r="I90" t="s">
        <v>12</v>
      </c>
    </row>
    <row r="91" spans="1:9" x14ac:dyDescent="0.3">
      <c r="A91">
        <v>90</v>
      </c>
      <c r="B91" s="1">
        <v>27.84</v>
      </c>
      <c r="C91" s="1" t="s">
        <v>13</v>
      </c>
      <c r="D91" s="1">
        <v>2.96</v>
      </c>
      <c r="E91" s="1" t="s">
        <v>21</v>
      </c>
      <c r="F91" s="1">
        <v>77.45</v>
      </c>
      <c r="G91" t="s">
        <v>15</v>
      </c>
      <c r="H91" s="1">
        <v>92</v>
      </c>
      <c r="I91" t="s">
        <v>12</v>
      </c>
    </row>
    <row r="92" spans="1:9" x14ac:dyDescent="0.3">
      <c r="A92">
        <v>91</v>
      </c>
      <c r="B92" s="1">
        <v>1.73</v>
      </c>
      <c r="C92" s="1" t="s">
        <v>13</v>
      </c>
      <c r="D92" s="1">
        <v>-3.25</v>
      </c>
      <c r="E92" s="1" t="s">
        <v>20</v>
      </c>
      <c r="F92" s="1">
        <v>56.31555555555552</v>
      </c>
      <c r="G92" t="s">
        <v>16</v>
      </c>
      <c r="H92" s="1">
        <v>29</v>
      </c>
      <c r="I92" t="s">
        <v>13</v>
      </c>
    </row>
    <row r="93" spans="1:9" x14ac:dyDescent="0.3">
      <c r="A93">
        <v>92</v>
      </c>
      <c r="B93" s="1">
        <v>91.72</v>
      </c>
      <c r="C93" s="1" t="s">
        <v>18</v>
      </c>
      <c r="D93" s="1">
        <v>1.73</v>
      </c>
      <c r="E93" s="1" t="s">
        <v>21</v>
      </c>
      <c r="F93" s="1">
        <v>44.56</v>
      </c>
      <c r="G93" t="s">
        <v>16</v>
      </c>
      <c r="H93" s="1">
        <v>67</v>
      </c>
      <c r="I93" t="s">
        <v>12</v>
      </c>
    </row>
    <row r="94" spans="1:9" x14ac:dyDescent="0.3">
      <c r="A94">
        <v>93</v>
      </c>
      <c r="B94" s="1">
        <v>74.849999999999994</v>
      </c>
      <c r="C94" s="1" t="s">
        <v>18</v>
      </c>
      <c r="D94" s="1">
        <v>-2.79</v>
      </c>
      <c r="E94" s="1" t="s">
        <v>20</v>
      </c>
      <c r="F94" s="1">
        <v>56.31555555555552</v>
      </c>
      <c r="G94" t="s">
        <v>15</v>
      </c>
      <c r="H94" s="1">
        <v>39</v>
      </c>
      <c r="I94" t="s">
        <v>13</v>
      </c>
    </row>
    <row r="95" spans="1:9" x14ac:dyDescent="0.3">
      <c r="A95">
        <v>94</v>
      </c>
      <c r="B95" s="1">
        <v>91.48</v>
      </c>
      <c r="C95" s="1" t="s">
        <v>18</v>
      </c>
      <c r="D95" s="1">
        <v>-2.82</v>
      </c>
      <c r="E95" s="1" t="s">
        <v>20</v>
      </c>
      <c r="F95" s="1">
        <v>76.400000000000006</v>
      </c>
      <c r="G95" t="s">
        <v>15</v>
      </c>
      <c r="H95" s="1">
        <v>58</v>
      </c>
      <c r="I95" t="s">
        <v>11</v>
      </c>
    </row>
    <row r="96" spans="1:9" x14ac:dyDescent="0.3">
      <c r="A96">
        <v>95</v>
      </c>
      <c r="B96" s="1">
        <v>4.67</v>
      </c>
      <c r="C96" s="1" t="s">
        <v>13</v>
      </c>
      <c r="D96" s="1">
        <v>3.74</v>
      </c>
      <c r="E96" s="1" t="s">
        <v>21</v>
      </c>
      <c r="F96" s="1">
        <v>42.97</v>
      </c>
      <c r="G96" t="s">
        <v>15</v>
      </c>
      <c r="H96" s="1">
        <v>79</v>
      </c>
      <c r="I96" t="s">
        <v>12</v>
      </c>
    </row>
    <row r="97" spans="1:9" x14ac:dyDescent="0.3">
      <c r="A97">
        <v>96</v>
      </c>
      <c r="B97" s="1">
        <v>100.45</v>
      </c>
      <c r="C97" s="1" t="s">
        <v>18</v>
      </c>
      <c r="D97" s="1">
        <v>-2.5</v>
      </c>
      <c r="E97" s="1" t="s">
        <v>20</v>
      </c>
      <c r="F97" s="1">
        <v>34.630000000000003</v>
      </c>
      <c r="G97" t="s">
        <v>15</v>
      </c>
      <c r="H97" s="1">
        <v>85</v>
      </c>
      <c r="I97" t="s">
        <v>12</v>
      </c>
    </row>
    <row r="98" spans="1:9" x14ac:dyDescent="0.3">
      <c r="A98">
        <v>97</v>
      </c>
      <c r="B98" s="1">
        <v>74.34</v>
      </c>
      <c r="C98" s="1" t="s">
        <v>18</v>
      </c>
      <c r="D98" s="1">
        <v>-2.37</v>
      </c>
      <c r="E98" s="1" t="s">
        <v>20</v>
      </c>
      <c r="F98" s="1">
        <v>25.93</v>
      </c>
      <c r="G98" t="s">
        <v>15</v>
      </c>
      <c r="H98" s="1">
        <v>84</v>
      </c>
      <c r="I98" t="s">
        <v>12</v>
      </c>
    </row>
    <row r="99" spans="1:9" x14ac:dyDescent="0.3">
      <c r="A99">
        <v>98</v>
      </c>
      <c r="B99" s="1">
        <v>67.61</v>
      </c>
      <c r="C99" s="1" t="s">
        <v>18</v>
      </c>
      <c r="D99" s="1">
        <v>-4.99</v>
      </c>
      <c r="E99" s="1" t="s">
        <v>20</v>
      </c>
      <c r="F99" s="1">
        <v>52.67</v>
      </c>
      <c r="G99" t="s">
        <v>16</v>
      </c>
      <c r="H99" s="1">
        <v>70</v>
      </c>
      <c r="I99" t="s">
        <v>12</v>
      </c>
    </row>
    <row r="100" spans="1:9" x14ac:dyDescent="0.3">
      <c r="A100">
        <v>99</v>
      </c>
      <c r="B100" s="1">
        <v>74.95</v>
      </c>
      <c r="C100" s="1" t="s">
        <v>18</v>
      </c>
      <c r="D100" s="1">
        <v>3.71</v>
      </c>
      <c r="E100" s="1" t="s">
        <v>21</v>
      </c>
      <c r="F100" s="1">
        <v>53.75</v>
      </c>
      <c r="G100" t="s">
        <v>16</v>
      </c>
      <c r="H100" s="1">
        <v>55</v>
      </c>
      <c r="I100" t="s">
        <v>11</v>
      </c>
    </row>
    <row r="101" spans="1:9" x14ac:dyDescent="0.3">
      <c r="A101">
        <v>100</v>
      </c>
      <c r="B101" s="1">
        <v>103.73</v>
      </c>
      <c r="C101" s="1" t="s">
        <v>18</v>
      </c>
      <c r="D101" s="1">
        <v>2.93</v>
      </c>
      <c r="E101" s="1" t="s">
        <v>21</v>
      </c>
      <c r="F101" s="1">
        <v>78.86</v>
      </c>
      <c r="G101" t="s">
        <v>16</v>
      </c>
      <c r="H101" s="1">
        <v>43</v>
      </c>
      <c r="I101" t="s">
        <v>11</v>
      </c>
    </row>
    <row r="102" spans="1:9" x14ac:dyDescent="0.3">
      <c r="A102">
        <v>101</v>
      </c>
      <c r="B102" s="1">
        <v>70.430000000000007</v>
      </c>
      <c r="C102" s="1" t="s">
        <v>18</v>
      </c>
      <c r="D102" s="1">
        <v>1.27</v>
      </c>
      <c r="E102" s="1" t="s">
        <v>21</v>
      </c>
      <c r="F102" s="1">
        <v>35.49</v>
      </c>
      <c r="G102" t="s">
        <v>15</v>
      </c>
      <c r="H102" s="1">
        <v>46</v>
      </c>
      <c r="I102" t="s">
        <v>11</v>
      </c>
    </row>
    <row r="103" spans="1:9" x14ac:dyDescent="0.3">
      <c r="A103">
        <v>102</v>
      </c>
      <c r="B103" s="1">
        <v>69.709999999999994</v>
      </c>
      <c r="C103" s="1" t="s">
        <v>18</v>
      </c>
      <c r="D103" s="1">
        <v>2.5</v>
      </c>
      <c r="E103" s="1" t="s">
        <v>21</v>
      </c>
      <c r="F103" s="1">
        <v>46.67</v>
      </c>
      <c r="G103" t="s">
        <v>16</v>
      </c>
      <c r="H103" s="1">
        <v>21</v>
      </c>
      <c r="I103" t="s">
        <v>13</v>
      </c>
    </row>
    <row r="104" spans="1:9" x14ac:dyDescent="0.3">
      <c r="A104">
        <v>103</v>
      </c>
      <c r="B104" s="1">
        <v>118.88</v>
      </c>
      <c r="C104" s="1" t="s">
        <v>18</v>
      </c>
      <c r="D104" s="1">
        <v>-3.48</v>
      </c>
      <c r="E104" s="1" t="s">
        <v>20</v>
      </c>
      <c r="F104" s="1">
        <v>76.59</v>
      </c>
      <c r="G104" t="s">
        <v>16</v>
      </c>
      <c r="H104" s="1">
        <v>50</v>
      </c>
      <c r="I104" t="s">
        <v>11</v>
      </c>
    </row>
    <row r="105" spans="1:9" x14ac:dyDescent="0.3">
      <c r="A105">
        <v>104</v>
      </c>
      <c r="B105" s="1">
        <v>90.81</v>
      </c>
      <c r="C105" s="1" t="s">
        <v>18</v>
      </c>
      <c r="D105" s="1">
        <v>-0.42</v>
      </c>
      <c r="E105" s="1" t="s">
        <v>20</v>
      </c>
      <c r="F105" s="1">
        <v>77.650000000000006</v>
      </c>
      <c r="G105" t="s">
        <v>16</v>
      </c>
      <c r="H105" s="1">
        <v>76</v>
      </c>
      <c r="I105" t="s">
        <v>12</v>
      </c>
    </row>
    <row r="106" spans="1:9" x14ac:dyDescent="0.3">
      <c r="A106">
        <v>105</v>
      </c>
      <c r="B106" s="1">
        <v>53.08</v>
      </c>
      <c r="C106" s="1" t="s">
        <v>11</v>
      </c>
      <c r="D106" s="1">
        <v>-1.49</v>
      </c>
      <c r="E106" s="1" t="s">
        <v>20</v>
      </c>
      <c r="F106" s="1">
        <v>46.92</v>
      </c>
      <c r="G106" t="s">
        <v>15</v>
      </c>
      <c r="H106" s="1">
        <v>97</v>
      </c>
      <c r="I106" t="s">
        <v>12</v>
      </c>
    </row>
    <row r="107" spans="1:9" x14ac:dyDescent="0.3">
      <c r="A107">
        <v>106</v>
      </c>
      <c r="B107" s="1">
        <v>84.89</v>
      </c>
      <c r="C107" s="1" t="s">
        <v>18</v>
      </c>
      <c r="D107" s="1">
        <v>-4.0599999999999996</v>
      </c>
      <c r="E107" s="1" t="s">
        <v>20</v>
      </c>
      <c r="F107" s="1">
        <v>56.31555555555552</v>
      </c>
      <c r="G107" t="s">
        <v>16</v>
      </c>
      <c r="H107" s="1">
        <v>85</v>
      </c>
      <c r="I107" t="s">
        <v>12</v>
      </c>
    </row>
    <row r="108" spans="1:9" x14ac:dyDescent="0.3">
      <c r="A108">
        <v>107</v>
      </c>
      <c r="B108" s="1">
        <v>46.71</v>
      </c>
      <c r="C108" s="1" t="s">
        <v>11</v>
      </c>
      <c r="D108" s="1">
        <v>-0.14000000000000001</v>
      </c>
      <c r="E108" s="1" t="s">
        <v>20</v>
      </c>
      <c r="F108" s="1">
        <v>41.23</v>
      </c>
      <c r="G108" t="s">
        <v>16</v>
      </c>
      <c r="H108" s="1">
        <v>48</v>
      </c>
      <c r="I108" t="s">
        <v>11</v>
      </c>
    </row>
    <row r="109" spans="1:9" x14ac:dyDescent="0.3">
      <c r="A109">
        <v>108</v>
      </c>
      <c r="B109" s="1">
        <v>27.47</v>
      </c>
      <c r="C109" s="1" t="s">
        <v>13</v>
      </c>
      <c r="D109" s="1">
        <v>4.21</v>
      </c>
      <c r="E109" s="1" t="s">
        <v>21</v>
      </c>
      <c r="F109" s="1">
        <v>85.28</v>
      </c>
      <c r="G109" t="s">
        <v>15</v>
      </c>
      <c r="H109" s="1">
        <v>34</v>
      </c>
      <c r="I109" t="s">
        <v>13</v>
      </c>
    </row>
    <row r="110" spans="1:9" x14ac:dyDescent="0.3">
      <c r="A110">
        <v>109</v>
      </c>
      <c r="B110" s="1">
        <v>71.62</v>
      </c>
      <c r="C110" s="1" t="s">
        <v>18</v>
      </c>
      <c r="D110" s="1">
        <v>-4.5999999999999996</v>
      </c>
      <c r="E110" s="1" t="s">
        <v>20</v>
      </c>
      <c r="F110" s="1">
        <v>28.31</v>
      </c>
      <c r="G110" t="s">
        <v>15</v>
      </c>
      <c r="H110" s="1">
        <v>31</v>
      </c>
      <c r="I110" t="s">
        <v>13</v>
      </c>
    </row>
    <row r="111" spans="1:9" x14ac:dyDescent="0.3">
      <c r="A111">
        <v>110</v>
      </c>
      <c r="B111" s="1">
        <v>111.38</v>
      </c>
      <c r="C111" s="1" t="s">
        <v>18</v>
      </c>
      <c r="D111" s="1">
        <v>-2.09</v>
      </c>
      <c r="E111" s="1" t="s">
        <v>20</v>
      </c>
      <c r="F111" s="1">
        <v>85.36</v>
      </c>
      <c r="G111" t="s">
        <v>16</v>
      </c>
      <c r="H111" s="1">
        <v>47</v>
      </c>
      <c r="I111" t="s">
        <v>11</v>
      </c>
    </row>
    <row r="112" spans="1:9" x14ac:dyDescent="0.3">
      <c r="A112">
        <v>111</v>
      </c>
      <c r="B112" s="1">
        <v>111.5</v>
      </c>
      <c r="C112" s="1" t="s">
        <v>18</v>
      </c>
      <c r="D112" s="1">
        <v>-2.92</v>
      </c>
      <c r="E112" s="1" t="s">
        <v>20</v>
      </c>
      <c r="F112" s="1">
        <v>67.87</v>
      </c>
      <c r="G112" t="s">
        <v>16</v>
      </c>
      <c r="H112" s="1">
        <v>43</v>
      </c>
      <c r="I112" t="s">
        <v>11</v>
      </c>
    </row>
    <row r="113" spans="1:9" x14ac:dyDescent="0.3">
      <c r="A113">
        <v>112</v>
      </c>
      <c r="B113" s="1">
        <v>41.03</v>
      </c>
      <c r="C113" s="1" t="s">
        <v>11</v>
      </c>
      <c r="D113" s="1">
        <v>-2.62</v>
      </c>
      <c r="E113" s="1" t="s">
        <v>20</v>
      </c>
      <c r="F113" s="1">
        <v>57.21</v>
      </c>
      <c r="G113" t="s">
        <v>15</v>
      </c>
      <c r="H113" s="1">
        <v>40</v>
      </c>
      <c r="I113" t="s">
        <v>11</v>
      </c>
    </row>
    <row r="114" spans="1:9" x14ac:dyDescent="0.3">
      <c r="A114">
        <v>113</v>
      </c>
      <c r="B114" s="1">
        <v>63.32</v>
      </c>
      <c r="C114" s="1" t="s">
        <v>18</v>
      </c>
      <c r="D114" s="1">
        <v>4.08</v>
      </c>
      <c r="E114" s="1" t="s">
        <v>21</v>
      </c>
      <c r="F114" s="1">
        <v>22.29</v>
      </c>
      <c r="G114" t="s">
        <v>16</v>
      </c>
      <c r="H114" s="1">
        <v>29</v>
      </c>
      <c r="I114" t="s">
        <v>13</v>
      </c>
    </row>
    <row r="115" spans="1:9" x14ac:dyDescent="0.3">
      <c r="A115">
        <v>114</v>
      </c>
      <c r="B115" s="1">
        <v>25.4</v>
      </c>
      <c r="C115" s="1" t="s">
        <v>13</v>
      </c>
      <c r="D115" s="1">
        <v>-0.32</v>
      </c>
      <c r="E115" s="1" t="s">
        <v>20</v>
      </c>
      <c r="F115" s="1">
        <v>53.29</v>
      </c>
      <c r="G115" t="s">
        <v>16</v>
      </c>
      <c r="H115" s="1">
        <v>97</v>
      </c>
      <c r="I115" t="s">
        <v>12</v>
      </c>
    </row>
    <row r="116" spans="1:9" x14ac:dyDescent="0.3">
      <c r="A116">
        <v>115</v>
      </c>
      <c r="B116" s="1">
        <v>119.48</v>
      </c>
      <c r="C116" s="1" t="s">
        <v>18</v>
      </c>
      <c r="D116" s="1">
        <v>-0.34</v>
      </c>
      <c r="E116" s="1" t="s">
        <v>20</v>
      </c>
      <c r="F116" s="1">
        <v>48.54</v>
      </c>
      <c r="G116" t="s">
        <v>16</v>
      </c>
      <c r="H116" s="1">
        <v>37</v>
      </c>
      <c r="I116" t="s">
        <v>13</v>
      </c>
    </row>
    <row r="117" spans="1:9" x14ac:dyDescent="0.3">
      <c r="A117">
        <v>116</v>
      </c>
      <c r="B117" s="1">
        <v>117.73</v>
      </c>
      <c r="C117" s="1" t="s">
        <v>18</v>
      </c>
      <c r="D117" s="1">
        <v>2.61</v>
      </c>
      <c r="E117" s="1" t="s">
        <v>21</v>
      </c>
      <c r="F117" s="1">
        <v>31.29</v>
      </c>
      <c r="G117" t="s">
        <v>16</v>
      </c>
      <c r="H117" s="1">
        <v>33</v>
      </c>
      <c r="I117" t="s">
        <v>13</v>
      </c>
    </row>
    <row r="118" spans="1:9" x14ac:dyDescent="0.3">
      <c r="A118">
        <v>117</v>
      </c>
      <c r="B118" s="1">
        <v>77.94</v>
      </c>
      <c r="C118" s="1" t="s">
        <v>18</v>
      </c>
      <c r="D118" s="1">
        <v>-3.46</v>
      </c>
      <c r="E118" s="1" t="s">
        <v>20</v>
      </c>
      <c r="F118" s="1">
        <v>65.95</v>
      </c>
      <c r="G118" t="s">
        <v>16</v>
      </c>
      <c r="H118" s="1">
        <v>53</v>
      </c>
      <c r="I118" t="s">
        <v>11</v>
      </c>
    </row>
    <row r="119" spans="1:9" x14ac:dyDescent="0.3">
      <c r="A119">
        <v>118</v>
      </c>
      <c r="B119" s="1">
        <v>96.53</v>
      </c>
      <c r="C119" s="1" t="s">
        <v>18</v>
      </c>
      <c r="D119" s="1">
        <v>-0.13</v>
      </c>
      <c r="E119" s="1" t="s">
        <v>20</v>
      </c>
      <c r="F119" s="1">
        <v>87.98</v>
      </c>
      <c r="G119" t="s">
        <v>15</v>
      </c>
      <c r="H119" s="1">
        <v>77</v>
      </c>
      <c r="I119" t="s">
        <v>12</v>
      </c>
    </row>
    <row r="120" spans="1:9" x14ac:dyDescent="0.3">
      <c r="A120">
        <v>119</v>
      </c>
      <c r="B120" s="1">
        <v>85.81</v>
      </c>
      <c r="C120" s="1" t="s">
        <v>18</v>
      </c>
      <c r="D120" s="1">
        <v>-0.7</v>
      </c>
      <c r="E120" s="1" t="s">
        <v>20</v>
      </c>
      <c r="F120" s="1">
        <v>59.35</v>
      </c>
      <c r="G120" t="s">
        <v>16</v>
      </c>
      <c r="H120" s="1">
        <v>95</v>
      </c>
      <c r="I120" t="s">
        <v>12</v>
      </c>
    </row>
    <row r="121" spans="1:9" x14ac:dyDescent="0.3">
      <c r="A121">
        <v>120</v>
      </c>
      <c r="B121" s="1">
        <v>71.180000000000007</v>
      </c>
      <c r="C121" s="1" t="s">
        <v>18</v>
      </c>
      <c r="D121" s="1">
        <v>0.97</v>
      </c>
      <c r="E121" s="1" t="s">
        <v>21</v>
      </c>
      <c r="F121" s="1">
        <v>70.03</v>
      </c>
      <c r="G121" t="s">
        <v>16</v>
      </c>
      <c r="H121" s="1">
        <v>41</v>
      </c>
      <c r="I121" t="s">
        <v>11</v>
      </c>
    </row>
    <row r="122" spans="1:9" x14ac:dyDescent="0.3">
      <c r="A122">
        <v>121</v>
      </c>
      <c r="B122" s="1">
        <v>6.4</v>
      </c>
      <c r="C122" s="1" t="s">
        <v>13</v>
      </c>
      <c r="D122" s="1">
        <v>5</v>
      </c>
      <c r="E122" s="1" t="s">
        <v>21</v>
      </c>
      <c r="F122" s="1">
        <v>24.79</v>
      </c>
      <c r="G122" t="s">
        <v>16</v>
      </c>
      <c r="H122" s="1">
        <v>89</v>
      </c>
      <c r="I122" t="s">
        <v>12</v>
      </c>
    </row>
    <row r="123" spans="1:9" x14ac:dyDescent="0.3">
      <c r="A123">
        <v>122</v>
      </c>
      <c r="B123" s="1">
        <v>54.57</v>
      </c>
      <c r="C123" s="1" t="s">
        <v>11</v>
      </c>
      <c r="D123" s="1">
        <v>2.69</v>
      </c>
      <c r="E123" s="1" t="s">
        <v>21</v>
      </c>
      <c r="F123" s="1">
        <v>49.24</v>
      </c>
      <c r="G123" t="s">
        <v>16</v>
      </c>
      <c r="H123" s="1">
        <v>55</v>
      </c>
      <c r="I123" t="s">
        <v>11</v>
      </c>
    </row>
    <row r="124" spans="1:9" x14ac:dyDescent="0.3">
      <c r="A124">
        <v>123</v>
      </c>
      <c r="B124" s="1">
        <v>80.97</v>
      </c>
      <c r="C124" s="1" t="s">
        <v>18</v>
      </c>
      <c r="D124" s="1">
        <v>-1.02</v>
      </c>
      <c r="E124" s="1" t="s">
        <v>20</v>
      </c>
      <c r="F124" s="1">
        <v>28.15</v>
      </c>
      <c r="G124" t="s">
        <v>15</v>
      </c>
      <c r="H124" s="1">
        <v>64</v>
      </c>
      <c r="I124" t="s">
        <v>12</v>
      </c>
    </row>
    <row r="125" spans="1:9" x14ac:dyDescent="0.3">
      <c r="A125">
        <v>124</v>
      </c>
      <c r="B125" s="1">
        <v>81.3</v>
      </c>
      <c r="C125" s="1" t="s">
        <v>18</v>
      </c>
      <c r="D125" s="1">
        <v>3.28</v>
      </c>
      <c r="E125" s="1" t="s">
        <v>21</v>
      </c>
      <c r="F125" s="1">
        <v>62.9</v>
      </c>
      <c r="G125" t="s">
        <v>15</v>
      </c>
      <c r="H125" s="1">
        <v>55</v>
      </c>
      <c r="I125" t="s">
        <v>11</v>
      </c>
    </row>
    <row r="126" spans="1:9" x14ac:dyDescent="0.3">
      <c r="A126">
        <v>125</v>
      </c>
      <c r="B126" s="1">
        <v>44.77</v>
      </c>
      <c r="C126" s="1" t="s">
        <v>11</v>
      </c>
      <c r="D126" s="1">
        <v>-3.29</v>
      </c>
      <c r="E126" s="1" t="s">
        <v>20</v>
      </c>
      <c r="F126" s="1">
        <v>85.69</v>
      </c>
      <c r="G126" t="s">
        <v>15</v>
      </c>
      <c r="H126" s="1">
        <v>41</v>
      </c>
      <c r="I126" t="s">
        <v>11</v>
      </c>
    </row>
    <row r="127" spans="1:9" x14ac:dyDescent="0.3">
      <c r="A127">
        <v>126</v>
      </c>
      <c r="B127" s="1">
        <v>113</v>
      </c>
      <c r="C127" s="1" t="s">
        <v>18</v>
      </c>
      <c r="D127" s="1">
        <v>-4.7</v>
      </c>
      <c r="E127" s="1" t="s">
        <v>20</v>
      </c>
      <c r="F127" s="1">
        <v>66.319999999999993</v>
      </c>
      <c r="G127" t="s">
        <v>16</v>
      </c>
      <c r="H127" s="1">
        <v>97</v>
      </c>
      <c r="I127" t="s">
        <v>12</v>
      </c>
    </row>
    <row r="128" spans="1:9" x14ac:dyDescent="0.3">
      <c r="A128">
        <v>127</v>
      </c>
      <c r="B128" s="1">
        <v>20.079999999999998</v>
      </c>
      <c r="C128" s="1" t="s">
        <v>13</v>
      </c>
      <c r="D128" s="1">
        <v>-2.96</v>
      </c>
      <c r="E128" s="1" t="s">
        <v>20</v>
      </c>
      <c r="F128" s="1">
        <v>25.38</v>
      </c>
      <c r="G128" t="s">
        <v>15</v>
      </c>
      <c r="H128" s="1">
        <v>99</v>
      </c>
      <c r="I128" t="s">
        <v>12</v>
      </c>
    </row>
    <row r="129" spans="1:9" x14ac:dyDescent="0.3">
      <c r="A129">
        <v>128</v>
      </c>
      <c r="B129" s="1">
        <v>60.04</v>
      </c>
      <c r="C129" s="1" t="s">
        <v>18</v>
      </c>
      <c r="D129" s="1">
        <v>-1.6</v>
      </c>
      <c r="E129" s="1" t="s">
        <v>20</v>
      </c>
      <c r="F129" s="1">
        <v>44.83</v>
      </c>
      <c r="G129" t="s">
        <v>15</v>
      </c>
      <c r="H129" s="1">
        <v>80</v>
      </c>
      <c r="I129" t="s">
        <v>12</v>
      </c>
    </row>
    <row r="130" spans="1:9" x14ac:dyDescent="0.3">
      <c r="A130">
        <v>129</v>
      </c>
      <c r="B130" s="1">
        <v>82.91</v>
      </c>
      <c r="C130" s="1" t="s">
        <v>18</v>
      </c>
      <c r="D130" s="1">
        <v>0.11</v>
      </c>
      <c r="E130" s="1" t="s">
        <v>21</v>
      </c>
      <c r="F130" s="1">
        <v>58.55</v>
      </c>
      <c r="G130" t="s">
        <v>16</v>
      </c>
      <c r="H130" s="1">
        <v>75</v>
      </c>
      <c r="I130" t="s">
        <v>12</v>
      </c>
    </row>
    <row r="131" spans="1:9" x14ac:dyDescent="0.3">
      <c r="A131">
        <v>130</v>
      </c>
      <c r="B131" s="1">
        <v>83.66</v>
      </c>
      <c r="C131" s="1" t="s">
        <v>18</v>
      </c>
      <c r="D131" s="1">
        <v>1.1499999999999999</v>
      </c>
      <c r="E131" s="1" t="s">
        <v>21</v>
      </c>
      <c r="F131" s="1">
        <v>48.22</v>
      </c>
      <c r="G131" t="s">
        <v>16</v>
      </c>
      <c r="H131" s="1">
        <v>52</v>
      </c>
      <c r="I131" t="s">
        <v>11</v>
      </c>
    </row>
    <row r="132" spans="1:9" x14ac:dyDescent="0.3">
      <c r="A132">
        <v>131</v>
      </c>
      <c r="B132" s="1">
        <v>77.84</v>
      </c>
      <c r="C132" s="1" t="s">
        <v>18</v>
      </c>
      <c r="D132" s="1">
        <v>4.1100000000000003</v>
      </c>
      <c r="E132" s="1" t="s">
        <v>21</v>
      </c>
      <c r="F132" s="1">
        <v>78.36</v>
      </c>
      <c r="G132" t="s">
        <v>16</v>
      </c>
      <c r="H132" s="1">
        <v>64</v>
      </c>
      <c r="I132" t="s">
        <v>12</v>
      </c>
    </row>
    <row r="133" spans="1:9" x14ac:dyDescent="0.3">
      <c r="A133">
        <v>132</v>
      </c>
      <c r="B133" s="1">
        <v>33.03</v>
      </c>
      <c r="C133" s="1" t="s">
        <v>11</v>
      </c>
      <c r="D133" s="1">
        <v>0.1</v>
      </c>
      <c r="E133" s="1" t="s">
        <v>21</v>
      </c>
      <c r="F133" s="1">
        <v>77.03</v>
      </c>
      <c r="G133" t="s">
        <v>16</v>
      </c>
      <c r="H133" s="1">
        <v>55</v>
      </c>
      <c r="I133" t="s">
        <v>11</v>
      </c>
    </row>
    <row r="134" spans="1:9" x14ac:dyDescent="0.3">
      <c r="A134">
        <v>133</v>
      </c>
      <c r="B134" s="1">
        <v>18.739999999999998</v>
      </c>
      <c r="C134" s="1" t="s">
        <v>13</v>
      </c>
      <c r="D134" s="1">
        <v>0.01</v>
      </c>
      <c r="E134" s="1" t="s">
        <v>21</v>
      </c>
      <c r="F134" s="1">
        <v>56.31555555555552</v>
      </c>
      <c r="G134" t="s">
        <v>15</v>
      </c>
      <c r="H134" s="1">
        <v>39</v>
      </c>
      <c r="I134" t="s">
        <v>13</v>
      </c>
    </row>
    <row r="135" spans="1:9" x14ac:dyDescent="0.3">
      <c r="A135">
        <v>134</v>
      </c>
      <c r="B135" s="1">
        <v>76.31</v>
      </c>
      <c r="C135" s="1" t="s">
        <v>18</v>
      </c>
      <c r="D135" s="1">
        <v>-4.5</v>
      </c>
      <c r="E135" s="1" t="s">
        <v>20</v>
      </c>
      <c r="F135" s="1">
        <v>46.14</v>
      </c>
      <c r="G135" t="s">
        <v>15</v>
      </c>
      <c r="H135" s="1">
        <v>37</v>
      </c>
      <c r="I135" t="s">
        <v>13</v>
      </c>
    </row>
    <row r="136" spans="1:9" x14ac:dyDescent="0.3">
      <c r="A136">
        <v>135</v>
      </c>
      <c r="B136" s="1">
        <v>71.92</v>
      </c>
      <c r="C136" s="1" t="s">
        <v>18</v>
      </c>
      <c r="D136" s="1">
        <v>-4.6500000000000004</v>
      </c>
      <c r="E136" s="1" t="s">
        <v>20</v>
      </c>
      <c r="F136" s="1">
        <v>37.869999999999997</v>
      </c>
      <c r="G136" t="s">
        <v>15</v>
      </c>
      <c r="H136" s="1">
        <v>57</v>
      </c>
      <c r="I136" t="s">
        <v>11</v>
      </c>
    </row>
    <row r="137" spans="1:9" x14ac:dyDescent="0.3">
      <c r="A137">
        <v>136</v>
      </c>
      <c r="B137" s="1">
        <v>21.52</v>
      </c>
      <c r="C137" s="1" t="s">
        <v>13</v>
      </c>
      <c r="D137" s="1">
        <v>0.51</v>
      </c>
      <c r="E137" s="1" t="s">
        <v>21</v>
      </c>
      <c r="F137" s="1">
        <v>27.41</v>
      </c>
      <c r="G137" t="s">
        <v>16</v>
      </c>
      <c r="H137" s="1">
        <v>86</v>
      </c>
      <c r="I137" t="s">
        <v>12</v>
      </c>
    </row>
    <row r="138" spans="1:9" x14ac:dyDescent="0.3">
      <c r="A138">
        <v>137</v>
      </c>
      <c r="B138" s="1">
        <v>84.62</v>
      </c>
      <c r="C138" s="1" t="s">
        <v>18</v>
      </c>
      <c r="D138" s="1">
        <v>-0.62</v>
      </c>
      <c r="E138" s="1" t="s">
        <v>20</v>
      </c>
      <c r="F138" s="1">
        <v>44.84</v>
      </c>
      <c r="G138" t="s">
        <v>16</v>
      </c>
      <c r="H138" s="1">
        <v>42</v>
      </c>
      <c r="I138" t="s">
        <v>11</v>
      </c>
    </row>
    <row r="139" spans="1:9" x14ac:dyDescent="0.3">
      <c r="A139">
        <v>138</v>
      </c>
      <c r="B139" s="1">
        <v>54.62</v>
      </c>
      <c r="C139" s="1" t="s">
        <v>11</v>
      </c>
      <c r="D139" s="1">
        <v>3.39</v>
      </c>
      <c r="E139" s="1" t="s">
        <v>21</v>
      </c>
      <c r="F139" s="1">
        <v>48.92</v>
      </c>
      <c r="G139" t="s">
        <v>15</v>
      </c>
      <c r="H139" s="1">
        <v>35</v>
      </c>
      <c r="I139" t="s">
        <v>13</v>
      </c>
    </row>
    <row r="140" spans="1:9" x14ac:dyDescent="0.3">
      <c r="A140">
        <v>139</v>
      </c>
      <c r="B140" s="1">
        <v>80.13</v>
      </c>
      <c r="C140" s="1" t="s">
        <v>18</v>
      </c>
      <c r="D140" s="1">
        <v>-3.39</v>
      </c>
      <c r="E140" s="1" t="s">
        <v>20</v>
      </c>
      <c r="F140" s="1">
        <v>67.31</v>
      </c>
      <c r="G140" t="s">
        <v>15</v>
      </c>
      <c r="H140" s="1">
        <v>78</v>
      </c>
      <c r="I140" t="s">
        <v>12</v>
      </c>
    </row>
    <row r="141" spans="1:9" x14ac:dyDescent="0.3">
      <c r="A141">
        <v>140</v>
      </c>
      <c r="B141" s="1">
        <v>100.48</v>
      </c>
      <c r="C141" s="1" t="s">
        <v>18</v>
      </c>
      <c r="D141" s="1">
        <v>-4.75</v>
      </c>
      <c r="E141" s="1" t="s">
        <v>20</v>
      </c>
      <c r="F141" s="1">
        <v>66.069999999999993</v>
      </c>
      <c r="G141" t="s">
        <v>16</v>
      </c>
      <c r="H141" s="1">
        <v>88</v>
      </c>
      <c r="I141" t="s">
        <v>12</v>
      </c>
    </row>
    <row r="142" spans="1:9" x14ac:dyDescent="0.3">
      <c r="A142">
        <v>141</v>
      </c>
      <c r="B142" s="1">
        <v>20.37</v>
      </c>
      <c r="C142" s="1" t="s">
        <v>13</v>
      </c>
      <c r="D142" s="1">
        <v>-0.51</v>
      </c>
      <c r="E142" s="1" t="s">
        <v>20</v>
      </c>
      <c r="F142" s="1">
        <v>24.91</v>
      </c>
      <c r="G142" t="s">
        <v>15</v>
      </c>
      <c r="H142" s="1">
        <v>87</v>
      </c>
      <c r="I142" t="s">
        <v>12</v>
      </c>
    </row>
    <row r="143" spans="1:9" x14ac:dyDescent="0.3">
      <c r="A143">
        <v>142</v>
      </c>
      <c r="B143" s="1">
        <v>2.2999999999999998</v>
      </c>
      <c r="C143" s="1" t="s">
        <v>13</v>
      </c>
      <c r="D143" s="1">
        <v>-2.63</v>
      </c>
      <c r="E143" s="1" t="s">
        <v>20</v>
      </c>
      <c r="F143" s="1">
        <v>47.67</v>
      </c>
      <c r="G143" t="s">
        <v>15</v>
      </c>
      <c r="H143" s="1">
        <v>40</v>
      </c>
      <c r="I143" t="s">
        <v>11</v>
      </c>
    </row>
    <row r="144" spans="1:9" x14ac:dyDescent="0.3">
      <c r="A144">
        <v>143</v>
      </c>
      <c r="B144" s="1">
        <v>93.49</v>
      </c>
      <c r="C144" s="1" t="s">
        <v>18</v>
      </c>
      <c r="D144" s="1">
        <v>-4.5</v>
      </c>
      <c r="E144" s="1" t="s">
        <v>20</v>
      </c>
      <c r="F144" s="1">
        <v>56.31555555555552</v>
      </c>
      <c r="G144" t="s">
        <v>15</v>
      </c>
      <c r="H144" s="1">
        <v>97</v>
      </c>
      <c r="I144" t="s">
        <v>12</v>
      </c>
    </row>
    <row r="145" spans="1:9" x14ac:dyDescent="0.3">
      <c r="A145">
        <v>144</v>
      </c>
      <c r="B145" s="1">
        <v>73.16</v>
      </c>
      <c r="C145" s="1" t="s">
        <v>18</v>
      </c>
      <c r="D145" s="1">
        <v>2.25</v>
      </c>
      <c r="E145" s="1" t="s">
        <v>21</v>
      </c>
      <c r="F145" s="1">
        <v>30.98</v>
      </c>
      <c r="G145" t="s">
        <v>16</v>
      </c>
      <c r="H145" s="1">
        <v>97</v>
      </c>
      <c r="I145" t="s">
        <v>12</v>
      </c>
    </row>
    <row r="146" spans="1:9" x14ac:dyDescent="0.3">
      <c r="A146">
        <v>145</v>
      </c>
      <c r="B146" s="1">
        <v>83.96</v>
      </c>
      <c r="C146" s="1" t="s">
        <v>18</v>
      </c>
      <c r="D146" s="1">
        <v>-3.88</v>
      </c>
      <c r="E146" s="1" t="s">
        <v>20</v>
      </c>
      <c r="F146" s="1">
        <v>77.91</v>
      </c>
      <c r="G146" t="s">
        <v>15</v>
      </c>
      <c r="H146" s="1">
        <v>89</v>
      </c>
      <c r="I146" t="s">
        <v>12</v>
      </c>
    </row>
    <row r="147" spans="1:9" x14ac:dyDescent="0.3">
      <c r="A147">
        <v>146</v>
      </c>
      <c r="B147" s="1">
        <v>100.58</v>
      </c>
      <c r="C147" s="1" t="s">
        <v>18</v>
      </c>
      <c r="D147" s="1">
        <v>1.08</v>
      </c>
      <c r="E147" s="1" t="s">
        <v>21</v>
      </c>
      <c r="F147" s="1">
        <v>56.31555555555552</v>
      </c>
      <c r="G147" t="s">
        <v>15</v>
      </c>
      <c r="H147" s="1">
        <v>31</v>
      </c>
      <c r="I147" t="s">
        <v>13</v>
      </c>
    </row>
    <row r="148" spans="1:9" x14ac:dyDescent="0.3">
      <c r="A148">
        <v>147</v>
      </c>
      <c r="B148" s="1">
        <v>96.34</v>
      </c>
      <c r="C148" s="1" t="s">
        <v>18</v>
      </c>
      <c r="D148" s="1">
        <v>-2.19</v>
      </c>
      <c r="E148" s="1" t="s">
        <v>20</v>
      </c>
      <c r="F148" s="1">
        <v>49.34</v>
      </c>
      <c r="G148" t="s">
        <v>16</v>
      </c>
      <c r="H148" s="1">
        <v>35</v>
      </c>
      <c r="I148" t="s">
        <v>13</v>
      </c>
    </row>
    <row r="149" spans="1:9" x14ac:dyDescent="0.3">
      <c r="A149">
        <v>148</v>
      </c>
      <c r="B149" s="1">
        <v>115.31</v>
      </c>
      <c r="C149" s="1" t="s">
        <v>18</v>
      </c>
      <c r="D149" s="1">
        <v>-3.27</v>
      </c>
      <c r="E149" s="1" t="s">
        <v>20</v>
      </c>
      <c r="F149" s="1">
        <v>31.77</v>
      </c>
      <c r="G149" t="s">
        <v>16</v>
      </c>
      <c r="H149" s="1">
        <v>33</v>
      </c>
      <c r="I149" t="s">
        <v>13</v>
      </c>
    </row>
    <row r="150" spans="1:9" x14ac:dyDescent="0.3">
      <c r="A150">
        <v>149</v>
      </c>
      <c r="B150" s="1">
        <v>64.31</v>
      </c>
      <c r="C150" s="1" t="s">
        <v>18</v>
      </c>
      <c r="D150" s="1">
        <v>-1.2</v>
      </c>
      <c r="E150" s="1" t="s">
        <v>20</v>
      </c>
      <c r="F150" s="1">
        <v>81.55</v>
      </c>
      <c r="G150" t="s">
        <v>16</v>
      </c>
      <c r="H150" s="1">
        <v>80</v>
      </c>
      <c r="I150" t="s">
        <v>12</v>
      </c>
    </row>
    <row r="151" spans="1:9" x14ac:dyDescent="0.3">
      <c r="A151">
        <v>150</v>
      </c>
      <c r="B151" s="1">
        <v>58.62</v>
      </c>
      <c r="C151" s="1" t="s">
        <v>11</v>
      </c>
      <c r="D151" s="1">
        <v>3.01</v>
      </c>
      <c r="E151" s="1" t="s">
        <v>21</v>
      </c>
      <c r="F151" s="1">
        <v>56.31555555555552</v>
      </c>
      <c r="G151" t="s">
        <v>15</v>
      </c>
      <c r="H151" s="1">
        <v>90</v>
      </c>
      <c r="I151" t="s">
        <v>12</v>
      </c>
    </row>
    <row r="152" spans="1:9" x14ac:dyDescent="0.3">
      <c r="A152">
        <v>151</v>
      </c>
      <c r="B152" s="1">
        <v>48.23</v>
      </c>
      <c r="C152" s="1" t="s">
        <v>11</v>
      </c>
      <c r="D152" s="1">
        <v>-1.08</v>
      </c>
      <c r="E152" s="1" t="s">
        <v>20</v>
      </c>
      <c r="F152" s="1">
        <v>36.200000000000003</v>
      </c>
      <c r="G152" t="s">
        <v>15</v>
      </c>
      <c r="H152" s="1">
        <v>65</v>
      </c>
      <c r="I152" t="s">
        <v>12</v>
      </c>
    </row>
    <row r="153" spans="1:9" x14ac:dyDescent="0.3">
      <c r="A153">
        <v>152</v>
      </c>
      <c r="B153" s="1">
        <v>18.440000000000001</v>
      </c>
      <c r="C153" s="1" t="s">
        <v>13</v>
      </c>
      <c r="D153" s="1">
        <v>2.5099999999999998</v>
      </c>
      <c r="E153" s="1" t="s">
        <v>21</v>
      </c>
      <c r="F153" s="1">
        <v>56.31555555555552</v>
      </c>
      <c r="G153" t="s">
        <v>15</v>
      </c>
      <c r="H153" s="1">
        <v>51</v>
      </c>
      <c r="I153" t="s">
        <v>11</v>
      </c>
    </row>
    <row r="154" spans="1:9" x14ac:dyDescent="0.3">
      <c r="A154">
        <v>153</v>
      </c>
      <c r="B154" s="1">
        <v>68.709999999999994</v>
      </c>
      <c r="C154" s="1" t="s">
        <v>18</v>
      </c>
      <c r="D154" s="1">
        <v>-3.75</v>
      </c>
      <c r="E154" s="1" t="s">
        <v>20</v>
      </c>
      <c r="F154" s="1">
        <v>71.2</v>
      </c>
      <c r="G154" t="s">
        <v>16</v>
      </c>
      <c r="H154" s="1">
        <v>34</v>
      </c>
      <c r="I154" t="s">
        <v>13</v>
      </c>
    </row>
    <row r="155" spans="1:9" x14ac:dyDescent="0.3">
      <c r="A155">
        <v>154</v>
      </c>
      <c r="B155" s="1">
        <v>33.24</v>
      </c>
      <c r="C155" s="1" t="s">
        <v>11</v>
      </c>
      <c r="D155" s="1">
        <v>2.73</v>
      </c>
      <c r="E155" s="1" t="s">
        <v>21</v>
      </c>
      <c r="F155" s="1">
        <v>87.07</v>
      </c>
      <c r="G155" t="s">
        <v>15</v>
      </c>
      <c r="H155" s="1">
        <v>63</v>
      </c>
      <c r="I155" t="s">
        <v>12</v>
      </c>
    </row>
    <row r="156" spans="1:9" x14ac:dyDescent="0.3">
      <c r="A156">
        <v>155</v>
      </c>
      <c r="B156" s="1">
        <v>110.56</v>
      </c>
      <c r="C156" s="1" t="s">
        <v>18</v>
      </c>
      <c r="D156" s="1">
        <v>-2.63</v>
      </c>
      <c r="E156" s="1" t="s">
        <v>20</v>
      </c>
      <c r="F156" s="1">
        <v>35.43</v>
      </c>
      <c r="G156" t="s">
        <v>15</v>
      </c>
      <c r="H156" s="1">
        <v>36</v>
      </c>
      <c r="I156" t="s">
        <v>13</v>
      </c>
    </row>
    <row r="157" spans="1:9" x14ac:dyDescent="0.3">
      <c r="A157">
        <v>156</v>
      </c>
      <c r="B157" s="1">
        <v>69.98</v>
      </c>
      <c r="C157" s="1" t="s">
        <v>18</v>
      </c>
      <c r="D157" s="1">
        <v>1.77</v>
      </c>
      <c r="E157" s="1" t="s">
        <v>21</v>
      </c>
      <c r="F157" s="1">
        <v>82.03</v>
      </c>
      <c r="G157" t="s">
        <v>15</v>
      </c>
      <c r="H157" s="1">
        <v>60</v>
      </c>
      <c r="I157" t="s">
        <v>12</v>
      </c>
    </row>
    <row r="158" spans="1:9" x14ac:dyDescent="0.3">
      <c r="A158">
        <v>157</v>
      </c>
      <c r="B158" s="1">
        <v>71.14</v>
      </c>
      <c r="C158" s="1" t="s">
        <v>18</v>
      </c>
      <c r="D158" s="1">
        <v>0.66</v>
      </c>
      <c r="E158" s="1" t="s">
        <v>21</v>
      </c>
      <c r="F158" s="1">
        <v>85.4</v>
      </c>
      <c r="G158" t="s">
        <v>16</v>
      </c>
      <c r="H158" s="1">
        <v>73</v>
      </c>
      <c r="I158" t="s">
        <v>12</v>
      </c>
    </row>
    <row r="159" spans="1:9" x14ac:dyDescent="0.3">
      <c r="A159">
        <v>158</v>
      </c>
      <c r="B159" s="1">
        <v>42.59</v>
      </c>
      <c r="C159" s="1" t="s">
        <v>11</v>
      </c>
      <c r="D159" s="1">
        <v>4.29</v>
      </c>
      <c r="E159" s="1" t="s">
        <v>21</v>
      </c>
      <c r="F159" s="1">
        <v>84.15</v>
      </c>
      <c r="G159" t="s">
        <v>15</v>
      </c>
      <c r="H159" s="1">
        <v>63</v>
      </c>
      <c r="I159" t="s">
        <v>12</v>
      </c>
    </row>
    <row r="160" spans="1:9" x14ac:dyDescent="0.3">
      <c r="A160">
        <v>159</v>
      </c>
      <c r="B160" s="1">
        <v>6.24</v>
      </c>
      <c r="C160" s="1" t="s">
        <v>13</v>
      </c>
      <c r="D160" s="1">
        <v>-1.1299999999999999</v>
      </c>
      <c r="E160" s="1" t="s">
        <v>20</v>
      </c>
      <c r="F160" s="1">
        <v>64.48</v>
      </c>
      <c r="G160" t="s">
        <v>15</v>
      </c>
      <c r="H160" s="1">
        <v>24</v>
      </c>
      <c r="I160" t="s">
        <v>13</v>
      </c>
    </row>
    <row r="161" spans="1:9" x14ac:dyDescent="0.3">
      <c r="A161">
        <v>160</v>
      </c>
      <c r="B161" s="1">
        <v>3.81</v>
      </c>
      <c r="C161" s="1" t="s">
        <v>13</v>
      </c>
      <c r="D161" s="1">
        <v>-4.34</v>
      </c>
      <c r="E161" s="1" t="s">
        <v>20</v>
      </c>
      <c r="F161" s="1">
        <v>64.09</v>
      </c>
      <c r="G161" t="s">
        <v>16</v>
      </c>
      <c r="H161" s="1">
        <v>46</v>
      </c>
      <c r="I161" t="s">
        <v>11</v>
      </c>
    </row>
    <row r="162" spans="1:9" x14ac:dyDescent="0.3">
      <c r="A162">
        <v>161</v>
      </c>
      <c r="B162" s="1">
        <v>50.8</v>
      </c>
      <c r="C162" s="1" t="s">
        <v>11</v>
      </c>
      <c r="D162" s="1">
        <v>-4.8099999999999996</v>
      </c>
      <c r="E162" s="1" t="s">
        <v>20</v>
      </c>
      <c r="F162" s="1">
        <v>48.22</v>
      </c>
      <c r="G162" t="s">
        <v>15</v>
      </c>
      <c r="H162" s="1">
        <v>97</v>
      </c>
      <c r="I162" t="s">
        <v>12</v>
      </c>
    </row>
    <row r="163" spans="1:9" x14ac:dyDescent="0.3">
      <c r="A163">
        <v>162</v>
      </c>
      <c r="B163" s="1">
        <v>10.15</v>
      </c>
      <c r="C163" s="1" t="s">
        <v>13</v>
      </c>
      <c r="D163" s="1">
        <v>3.27</v>
      </c>
      <c r="E163" s="1" t="s">
        <v>21</v>
      </c>
      <c r="F163" s="1">
        <v>72.67</v>
      </c>
      <c r="G163" t="s">
        <v>15</v>
      </c>
      <c r="H163" s="1">
        <v>98</v>
      </c>
      <c r="I163" t="s">
        <v>12</v>
      </c>
    </row>
    <row r="164" spans="1:9" x14ac:dyDescent="0.3">
      <c r="A164">
        <v>163</v>
      </c>
      <c r="B164" s="1">
        <v>72.819999999999993</v>
      </c>
      <c r="C164" s="1" t="s">
        <v>18</v>
      </c>
      <c r="D164" s="1">
        <v>0.25</v>
      </c>
      <c r="E164" s="1" t="s">
        <v>21</v>
      </c>
      <c r="F164" s="1">
        <v>57.19</v>
      </c>
      <c r="G164" t="s">
        <v>16</v>
      </c>
      <c r="H164" s="1">
        <v>62</v>
      </c>
      <c r="I164" t="s">
        <v>12</v>
      </c>
    </row>
    <row r="165" spans="1:9" x14ac:dyDescent="0.3">
      <c r="A165">
        <v>164</v>
      </c>
      <c r="B165" s="1">
        <v>105.72</v>
      </c>
      <c r="C165" s="1" t="s">
        <v>18</v>
      </c>
      <c r="D165" s="1">
        <v>2.75</v>
      </c>
      <c r="E165" s="1" t="s">
        <v>21</v>
      </c>
      <c r="F165" s="1">
        <v>67.42</v>
      </c>
      <c r="G165" t="s">
        <v>15</v>
      </c>
      <c r="H165" s="1">
        <v>50</v>
      </c>
      <c r="I165" t="s">
        <v>11</v>
      </c>
    </row>
    <row r="166" spans="1:9" x14ac:dyDescent="0.3">
      <c r="A166">
        <v>165</v>
      </c>
      <c r="B166" s="1">
        <v>105.95</v>
      </c>
      <c r="C166" s="1" t="s">
        <v>18</v>
      </c>
      <c r="D166" s="1">
        <v>-2.66</v>
      </c>
      <c r="E166" s="1" t="s">
        <v>20</v>
      </c>
      <c r="F166" s="1">
        <v>56.31555555555552</v>
      </c>
      <c r="G166" t="s">
        <v>16</v>
      </c>
      <c r="H166" s="1">
        <v>36</v>
      </c>
      <c r="I166" t="s">
        <v>13</v>
      </c>
    </row>
    <row r="167" spans="1:9" x14ac:dyDescent="0.3">
      <c r="A167">
        <v>166</v>
      </c>
      <c r="B167" s="1">
        <v>79.09</v>
      </c>
      <c r="C167" s="1" t="s">
        <v>18</v>
      </c>
      <c r="D167" s="1">
        <v>-1.55</v>
      </c>
      <c r="E167" s="1" t="s">
        <v>20</v>
      </c>
      <c r="F167" s="1">
        <v>71.2</v>
      </c>
      <c r="G167" t="s">
        <v>16</v>
      </c>
      <c r="H167" s="1">
        <v>73</v>
      </c>
      <c r="I167" t="s">
        <v>12</v>
      </c>
    </row>
    <row r="168" spans="1:9" x14ac:dyDescent="0.3">
      <c r="A168">
        <v>167</v>
      </c>
      <c r="B168" s="1">
        <v>25.35</v>
      </c>
      <c r="C168" s="1" t="s">
        <v>13</v>
      </c>
      <c r="D168" s="1">
        <v>-4.7</v>
      </c>
      <c r="E168" s="1" t="s">
        <v>20</v>
      </c>
      <c r="F168" s="1">
        <v>77.709999999999994</v>
      </c>
      <c r="G168" t="s">
        <v>15</v>
      </c>
      <c r="H168" s="1">
        <v>81</v>
      </c>
      <c r="I168" t="s">
        <v>12</v>
      </c>
    </row>
    <row r="169" spans="1:9" x14ac:dyDescent="0.3">
      <c r="A169">
        <v>168</v>
      </c>
      <c r="B169" s="1">
        <v>103.56</v>
      </c>
      <c r="C169" s="1" t="s">
        <v>18</v>
      </c>
      <c r="D169" s="1">
        <v>4.6100000000000003</v>
      </c>
      <c r="E169" s="1" t="s">
        <v>21</v>
      </c>
      <c r="F169" s="1">
        <v>56.31555555555552</v>
      </c>
      <c r="G169" t="s">
        <v>16</v>
      </c>
      <c r="H169" s="1">
        <v>51</v>
      </c>
      <c r="I169" t="s">
        <v>11</v>
      </c>
    </row>
    <row r="170" spans="1:9" x14ac:dyDescent="0.3">
      <c r="A170">
        <v>169</v>
      </c>
      <c r="B170" s="1">
        <v>106.33</v>
      </c>
      <c r="C170" s="1" t="s">
        <v>18</v>
      </c>
      <c r="D170" s="1">
        <v>1.68</v>
      </c>
      <c r="E170" s="1" t="s">
        <v>21</v>
      </c>
      <c r="F170" s="1">
        <v>78.31</v>
      </c>
      <c r="G170" t="s">
        <v>16</v>
      </c>
      <c r="H170" s="1">
        <v>59</v>
      </c>
      <c r="I170" t="s">
        <v>11</v>
      </c>
    </row>
    <row r="171" spans="1:9" x14ac:dyDescent="0.3">
      <c r="A171">
        <v>170</v>
      </c>
      <c r="B171" s="1">
        <v>23.6</v>
      </c>
      <c r="C171" s="1" t="s">
        <v>13</v>
      </c>
      <c r="D171" s="1">
        <v>4.33</v>
      </c>
      <c r="E171" s="1" t="s">
        <v>21</v>
      </c>
      <c r="F171" s="1">
        <v>57.82</v>
      </c>
      <c r="G171" t="s">
        <v>15</v>
      </c>
      <c r="H171" s="1">
        <v>32</v>
      </c>
      <c r="I171" t="s">
        <v>13</v>
      </c>
    </row>
    <row r="172" spans="1:9" x14ac:dyDescent="0.3">
      <c r="A172">
        <v>171</v>
      </c>
      <c r="B172" s="1">
        <v>88.49</v>
      </c>
      <c r="C172" s="1" t="s">
        <v>18</v>
      </c>
      <c r="D172" s="1">
        <v>-2.35</v>
      </c>
      <c r="E172" s="1" t="s">
        <v>20</v>
      </c>
      <c r="F172" s="1">
        <v>79.13</v>
      </c>
      <c r="G172" t="s">
        <v>16</v>
      </c>
      <c r="H172" s="1">
        <v>54</v>
      </c>
      <c r="I172" t="s">
        <v>11</v>
      </c>
    </row>
    <row r="173" spans="1:9" x14ac:dyDescent="0.3">
      <c r="A173">
        <v>172</v>
      </c>
      <c r="B173" s="1">
        <v>34.380000000000003</v>
      </c>
      <c r="C173" s="1" t="s">
        <v>11</v>
      </c>
      <c r="D173" s="1">
        <v>1.1100000000000001</v>
      </c>
      <c r="E173" s="1" t="s">
        <v>21</v>
      </c>
      <c r="F173" s="1">
        <v>50.19</v>
      </c>
      <c r="G173" t="s">
        <v>15</v>
      </c>
      <c r="H173" s="1">
        <v>24</v>
      </c>
      <c r="I173" t="s">
        <v>13</v>
      </c>
    </row>
    <row r="174" spans="1:9" x14ac:dyDescent="0.3">
      <c r="A174">
        <v>173</v>
      </c>
      <c r="B174" s="1">
        <v>96.32</v>
      </c>
      <c r="C174" s="1" t="s">
        <v>18</v>
      </c>
      <c r="D174" s="1">
        <v>1.78</v>
      </c>
      <c r="E174" s="1" t="s">
        <v>21</v>
      </c>
      <c r="F174" s="1">
        <v>46.53</v>
      </c>
      <c r="G174" t="s">
        <v>16</v>
      </c>
      <c r="H174" s="1">
        <v>92</v>
      </c>
      <c r="I174" t="s">
        <v>12</v>
      </c>
    </row>
    <row r="175" spans="1:9" x14ac:dyDescent="0.3">
      <c r="A175">
        <v>174</v>
      </c>
      <c r="B175" s="1">
        <v>119.67</v>
      </c>
      <c r="C175" s="1" t="s">
        <v>18</v>
      </c>
      <c r="D175" s="1">
        <v>-1.82</v>
      </c>
      <c r="E175" s="1" t="s">
        <v>20</v>
      </c>
      <c r="F175" s="1">
        <v>84.05</v>
      </c>
      <c r="G175" t="s">
        <v>16</v>
      </c>
      <c r="H175" s="1">
        <v>48</v>
      </c>
      <c r="I175" t="s">
        <v>11</v>
      </c>
    </row>
    <row r="176" spans="1:9" x14ac:dyDescent="0.3">
      <c r="A176">
        <v>175</v>
      </c>
      <c r="B176" s="1">
        <v>3.6</v>
      </c>
      <c r="C176" s="1" t="s">
        <v>13</v>
      </c>
      <c r="D176" s="1">
        <v>3.48</v>
      </c>
      <c r="E176" s="1" t="s">
        <v>21</v>
      </c>
      <c r="F176" s="1">
        <v>37.58</v>
      </c>
      <c r="G176" t="s">
        <v>16</v>
      </c>
      <c r="H176" s="1">
        <v>89</v>
      </c>
      <c r="I176" t="s">
        <v>12</v>
      </c>
    </row>
    <row r="177" spans="1:9" x14ac:dyDescent="0.3">
      <c r="A177">
        <v>176</v>
      </c>
      <c r="B177" s="1">
        <v>107.68</v>
      </c>
      <c r="C177" s="1" t="s">
        <v>18</v>
      </c>
      <c r="D177" s="1">
        <v>4.47</v>
      </c>
      <c r="E177" s="1" t="s">
        <v>21</v>
      </c>
      <c r="F177" s="1">
        <v>79.09</v>
      </c>
      <c r="G177" t="s">
        <v>15</v>
      </c>
      <c r="H177" s="1">
        <v>44</v>
      </c>
      <c r="I177" t="s">
        <v>11</v>
      </c>
    </row>
    <row r="178" spans="1:9" x14ac:dyDescent="0.3">
      <c r="A178">
        <v>177</v>
      </c>
      <c r="B178" s="1">
        <v>74.72</v>
      </c>
      <c r="C178" s="1" t="s">
        <v>18</v>
      </c>
      <c r="D178" s="1">
        <v>3.85</v>
      </c>
      <c r="E178" s="1" t="s">
        <v>21</v>
      </c>
      <c r="F178" s="1">
        <v>53.88</v>
      </c>
      <c r="G178" t="s">
        <v>16</v>
      </c>
      <c r="H178" s="1">
        <v>41</v>
      </c>
      <c r="I178" t="s">
        <v>11</v>
      </c>
    </row>
    <row r="179" spans="1:9" x14ac:dyDescent="0.3">
      <c r="A179">
        <v>178</v>
      </c>
      <c r="B179" s="1">
        <v>116.81</v>
      </c>
      <c r="C179" s="1" t="s">
        <v>18</v>
      </c>
      <c r="D179" s="1">
        <v>2.39</v>
      </c>
      <c r="E179" s="1" t="s">
        <v>21</v>
      </c>
      <c r="F179" s="1">
        <v>56.31555555555552</v>
      </c>
      <c r="G179" t="s">
        <v>15</v>
      </c>
      <c r="H179" s="1">
        <v>85</v>
      </c>
      <c r="I179" t="s">
        <v>12</v>
      </c>
    </row>
    <row r="180" spans="1:9" x14ac:dyDescent="0.3">
      <c r="A180">
        <v>179</v>
      </c>
      <c r="B180" s="1">
        <v>55.8</v>
      </c>
      <c r="C180" s="1" t="s">
        <v>11</v>
      </c>
      <c r="D180" s="1">
        <v>-2.23</v>
      </c>
      <c r="E180" s="1" t="s">
        <v>20</v>
      </c>
      <c r="F180" s="1">
        <v>41.59</v>
      </c>
      <c r="G180" t="s">
        <v>15</v>
      </c>
      <c r="H180" s="1">
        <v>64</v>
      </c>
      <c r="I180" t="s">
        <v>12</v>
      </c>
    </row>
    <row r="181" spans="1:9" x14ac:dyDescent="0.3">
      <c r="A181">
        <v>180</v>
      </c>
      <c r="B181" s="1">
        <v>101.69</v>
      </c>
      <c r="C181" s="1" t="s">
        <v>18</v>
      </c>
      <c r="D181" s="1">
        <v>-2.1800000000000002</v>
      </c>
      <c r="E181" s="1" t="s">
        <v>20</v>
      </c>
      <c r="F181" s="1">
        <v>60.11</v>
      </c>
      <c r="G181" t="s">
        <v>15</v>
      </c>
      <c r="H181" s="1">
        <v>88</v>
      </c>
      <c r="I181" t="s">
        <v>12</v>
      </c>
    </row>
    <row r="182" spans="1:9" x14ac:dyDescent="0.3">
      <c r="A182">
        <v>181</v>
      </c>
      <c r="B182" s="1">
        <v>7.49</v>
      </c>
      <c r="C182" s="1" t="s">
        <v>13</v>
      </c>
      <c r="D182" s="1">
        <v>4.63</v>
      </c>
      <c r="E182" s="1" t="s">
        <v>21</v>
      </c>
      <c r="F182" s="1">
        <v>42.76</v>
      </c>
      <c r="G182" t="s">
        <v>15</v>
      </c>
      <c r="H182" s="1">
        <v>91</v>
      </c>
      <c r="I182" t="s">
        <v>12</v>
      </c>
    </row>
    <row r="183" spans="1:9" x14ac:dyDescent="0.3">
      <c r="A183">
        <v>182</v>
      </c>
      <c r="B183" s="1">
        <v>40.229999999999997</v>
      </c>
      <c r="C183" s="1" t="s">
        <v>11</v>
      </c>
      <c r="D183" s="1">
        <v>-4.9000000000000004</v>
      </c>
      <c r="E183" s="1" t="s">
        <v>20</v>
      </c>
      <c r="F183" s="1">
        <v>22.75</v>
      </c>
      <c r="G183" t="s">
        <v>16</v>
      </c>
      <c r="H183" s="1">
        <v>20</v>
      </c>
      <c r="I183" t="s">
        <v>13</v>
      </c>
    </row>
    <row r="184" spans="1:9" x14ac:dyDescent="0.3">
      <c r="A184">
        <v>183</v>
      </c>
      <c r="B184" s="1">
        <v>8.0399999999999991</v>
      </c>
      <c r="C184" s="1" t="s">
        <v>13</v>
      </c>
      <c r="D184" s="1">
        <v>2.16</v>
      </c>
      <c r="E184" s="1" t="s">
        <v>21</v>
      </c>
      <c r="F184" s="1">
        <v>39.04</v>
      </c>
      <c r="G184" t="s">
        <v>16</v>
      </c>
      <c r="H184" s="1">
        <v>63</v>
      </c>
      <c r="I184" t="s">
        <v>12</v>
      </c>
    </row>
    <row r="185" spans="1:9" x14ac:dyDescent="0.3">
      <c r="A185">
        <v>184</v>
      </c>
      <c r="B185" s="1">
        <v>117.04</v>
      </c>
      <c r="C185" s="1" t="s">
        <v>18</v>
      </c>
      <c r="D185" s="1">
        <v>2.06</v>
      </c>
      <c r="E185" s="1" t="s">
        <v>21</v>
      </c>
      <c r="F185" s="1">
        <v>20.45</v>
      </c>
      <c r="G185" t="s">
        <v>15</v>
      </c>
      <c r="H185" s="1">
        <v>94</v>
      </c>
      <c r="I185" t="s">
        <v>12</v>
      </c>
    </row>
    <row r="186" spans="1:9" x14ac:dyDescent="0.3">
      <c r="A186">
        <v>185</v>
      </c>
      <c r="B186" s="1">
        <v>98.04</v>
      </c>
      <c r="C186" s="1" t="s">
        <v>18</v>
      </c>
      <c r="D186" s="1">
        <v>1.23</v>
      </c>
      <c r="E186" s="1" t="s">
        <v>21</v>
      </c>
      <c r="F186" s="1">
        <v>88.48</v>
      </c>
      <c r="G186" t="s">
        <v>15</v>
      </c>
      <c r="H186" s="1">
        <v>58</v>
      </c>
      <c r="I186" t="s">
        <v>11</v>
      </c>
    </row>
    <row r="187" spans="1:9" x14ac:dyDescent="0.3">
      <c r="A187">
        <v>186</v>
      </c>
      <c r="B187" s="1">
        <v>102.31</v>
      </c>
      <c r="C187" s="1" t="s">
        <v>18</v>
      </c>
      <c r="D187" s="1">
        <v>4.9000000000000004</v>
      </c>
      <c r="E187" s="1" t="s">
        <v>21</v>
      </c>
      <c r="F187" s="1">
        <v>87.6</v>
      </c>
      <c r="G187" t="s">
        <v>15</v>
      </c>
      <c r="H187" s="1">
        <v>73</v>
      </c>
      <c r="I187" t="s">
        <v>12</v>
      </c>
    </row>
    <row r="188" spans="1:9" x14ac:dyDescent="0.3">
      <c r="A188">
        <v>187</v>
      </c>
      <c r="B188" s="1">
        <v>112.56</v>
      </c>
      <c r="C188" s="1" t="s">
        <v>18</v>
      </c>
      <c r="D188" s="1">
        <v>-1.88</v>
      </c>
      <c r="E188" s="1" t="s">
        <v>20</v>
      </c>
      <c r="F188" s="1">
        <v>47.66</v>
      </c>
      <c r="G188" t="s">
        <v>16</v>
      </c>
      <c r="H188" s="1">
        <v>94</v>
      </c>
      <c r="I188" t="s">
        <v>12</v>
      </c>
    </row>
    <row r="189" spans="1:9" x14ac:dyDescent="0.3">
      <c r="A189">
        <v>188</v>
      </c>
      <c r="B189" s="1">
        <v>10.210000000000001</v>
      </c>
      <c r="C189" s="1" t="s">
        <v>13</v>
      </c>
      <c r="D189" s="1">
        <v>-1.6</v>
      </c>
      <c r="E189" s="1" t="s">
        <v>20</v>
      </c>
      <c r="F189" s="1">
        <v>70.989999999999995</v>
      </c>
      <c r="G189" t="s">
        <v>16</v>
      </c>
      <c r="H189" s="1">
        <v>48</v>
      </c>
      <c r="I189" t="s">
        <v>11</v>
      </c>
    </row>
    <row r="190" spans="1:9" x14ac:dyDescent="0.3">
      <c r="A190">
        <v>189</v>
      </c>
      <c r="B190" s="1">
        <v>46.27</v>
      </c>
      <c r="C190" s="1" t="s">
        <v>11</v>
      </c>
      <c r="D190" s="1">
        <v>-4.21</v>
      </c>
      <c r="E190" s="1" t="s">
        <v>20</v>
      </c>
      <c r="F190" s="1">
        <v>56.31555555555552</v>
      </c>
      <c r="G190" t="s">
        <v>16</v>
      </c>
      <c r="H190" s="1">
        <v>73</v>
      </c>
      <c r="I190" t="s">
        <v>12</v>
      </c>
    </row>
    <row r="191" spans="1:9" x14ac:dyDescent="0.3">
      <c r="A191">
        <v>190</v>
      </c>
      <c r="B191" s="1">
        <v>8.52</v>
      </c>
      <c r="C191" s="1" t="s">
        <v>13</v>
      </c>
      <c r="D191" s="1">
        <v>-0.56999999999999995</v>
      </c>
      <c r="E191" s="1" t="s">
        <v>20</v>
      </c>
      <c r="F191" s="1">
        <v>66.98</v>
      </c>
      <c r="G191" t="s">
        <v>16</v>
      </c>
      <c r="H191" s="1">
        <v>35</v>
      </c>
      <c r="I191" t="s">
        <v>13</v>
      </c>
    </row>
    <row r="192" spans="1:9" x14ac:dyDescent="0.3">
      <c r="A192">
        <v>191</v>
      </c>
      <c r="B192" s="1">
        <v>25.3</v>
      </c>
      <c r="C192" s="1" t="s">
        <v>13</v>
      </c>
      <c r="D192" s="1">
        <v>-2.39</v>
      </c>
      <c r="E192" s="1" t="s">
        <v>20</v>
      </c>
      <c r="F192" s="1">
        <v>76.38</v>
      </c>
      <c r="G192" t="s">
        <v>15</v>
      </c>
      <c r="H192" s="1">
        <v>39</v>
      </c>
      <c r="I192" t="s">
        <v>13</v>
      </c>
    </row>
    <row r="193" spans="1:9" x14ac:dyDescent="0.3">
      <c r="A193">
        <v>192</v>
      </c>
      <c r="B193" s="1">
        <v>27.52</v>
      </c>
      <c r="C193" s="1" t="s">
        <v>13</v>
      </c>
      <c r="D193" s="1">
        <v>-1.57</v>
      </c>
      <c r="E193" s="1" t="s">
        <v>20</v>
      </c>
      <c r="F193" s="1">
        <v>86.27</v>
      </c>
      <c r="G193" t="s">
        <v>15</v>
      </c>
      <c r="H193" s="1">
        <v>65</v>
      </c>
      <c r="I193" t="s">
        <v>12</v>
      </c>
    </row>
    <row r="194" spans="1:9" x14ac:dyDescent="0.3">
      <c r="A194">
        <v>193</v>
      </c>
      <c r="B194" s="1">
        <v>56.29</v>
      </c>
      <c r="C194" s="1" t="s">
        <v>11</v>
      </c>
      <c r="D194" s="1">
        <v>3.35</v>
      </c>
      <c r="E194" s="1" t="s">
        <v>21</v>
      </c>
      <c r="F194" s="1">
        <v>48.01</v>
      </c>
      <c r="G194" t="s">
        <v>15</v>
      </c>
      <c r="H194" s="1">
        <v>86</v>
      </c>
      <c r="I194" t="s">
        <v>12</v>
      </c>
    </row>
    <row r="195" spans="1:9" x14ac:dyDescent="0.3">
      <c r="A195">
        <v>194</v>
      </c>
      <c r="B195" s="1">
        <v>32.229999999999997</v>
      </c>
      <c r="C195" s="1" t="s">
        <v>11</v>
      </c>
      <c r="D195" s="1">
        <v>4.3499999999999996</v>
      </c>
      <c r="E195" s="1" t="s">
        <v>21</v>
      </c>
      <c r="F195" s="1">
        <v>74.83</v>
      </c>
      <c r="G195" t="s">
        <v>15</v>
      </c>
      <c r="H195" s="1">
        <v>84</v>
      </c>
      <c r="I195" t="s">
        <v>12</v>
      </c>
    </row>
    <row r="196" spans="1:9" x14ac:dyDescent="0.3">
      <c r="A196">
        <v>195</v>
      </c>
      <c r="B196" s="1">
        <v>12.12</v>
      </c>
      <c r="C196" s="1" t="s">
        <v>13</v>
      </c>
      <c r="D196" s="1">
        <v>-3.14</v>
      </c>
      <c r="E196" s="1" t="s">
        <v>20</v>
      </c>
      <c r="F196" s="1">
        <v>38.61</v>
      </c>
      <c r="G196" t="s">
        <v>16</v>
      </c>
      <c r="H196" s="1">
        <v>77</v>
      </c>
      <c r="I196" t="s">
        <v>12</v>
      </c>
    </row>
    <row r="197" spans="1:9" x14ac:dyDescent="0.3">
      <c r="A197">
        <v>196</v>
      </c>
      <c r="B197" s="1">
        <v>20.100000000000001</v>
      </c>
      <c r="C197" s="1" t="s">
        <v>13</v>
      </c>
      <c r="D197" s="1">
        <v>-1.27</v>
      </c>
      <c r="E197" s="1" t="s">
        <v>20</v>
      </c>
      <c r="F197" s="1">
        <v>89.32</v>
      </c>
      <c r="G197" t="s">
        <v>15</v>
      </c>
      <c r="H197" s="1">
        <v>72</v>
      </c>
      <c r="I197" t="s">
        <v>12</v>
      </c>
    </row>
    <row r="198" spans="1:9" x14ac:dyDescent="0.3">
      <c r="A198">
        <v>197</v>
      </c>
      <c r="B198" s="1">
        <v>17.670000000000002</v>
      </c>
      <c r="C198" s="1" t="s">
        <v>13</v>
      </c>
      <c r="D198" s="1">
        <v>4.29</v>
      </c>
      <c r="E198" s="1" t="s">
        <v>21</v>
      </c>
      <c r="F198" s="1">
        <v>21.8</v>
      </c>
      <c r="G198" t="s">
        <v>16</v>
      </c>
      <c r="H198" s="1">
        <v>20</v>
      </c>
      <c r="I198" t="s">
        <v>13</v>
      </c>
    </row>
    <row r="199" spans="1:9" x14ac:dyDescent="0.3">
      <c r="A199">
        <v>198</v>
      </c>
      <c r="B199" s="1">
        <v>116.77</v>
      </c>
      <c r="C199" s="1" t="s">
        <v>18</v>
      </c>
      <c r="D199" s="1">
        <v>-4.38</v>
      </c>
      <c r="E199" s="1" t="s">
        <v>20</v>
      </c>
      <c r="F199" s="1">
        <v>62.25</v>
      </c>
      <c r="G199" t="s">
        <v>15</v>
      </c>
      <c r="H199" s="1">
        <v>85</v>
      </c>
      <c r="I199" t="s">
        <v>12</v>
      </c>
    </row>
    <row r="200" spans="1:9" x14ac:dyDescent="0.3">
      <c r="A200">
        <v>199</v>
      </c>
      <c r="B200" s="1">
        <v>91.12</v>
      </c>
      <c r="C200" s="1" t="s">
        <v>18</v>
      </c>
      <c r="D200" s="1">
        <v>-4.08</v>
      </c>
      <c r="E200" s="1" t="s">
        <v>20</v>
      </c>
      <c r="F200" s="1">
        <v>66.17</v>
      </c>
      <c r="G200" t="s">
        <v>15</v>
      </c>
      <c r="H200" s="1">
        <v>48</v>
      </c>
      <c r="I200" t="s">
        <v>11</v>
      </c>
    </row>
    <row r="201" spans="1:9" x14ac:dyDescent="0.3">
      <c r="A201">
        <v>200</v>
      </c>
      <c r="B201" s="1">
        <v>116.13</v>
      </c>
      <c r="C201" s="1" t="s">
        <v>18</v>
      </c>
      <c r="D201" s="1">
        <v>-3.37</v>
      </c>
      <c r="E201" s="1" t="s">
        <v>20</v>
      </c>
      <c r="F201" s="1">
        <v>68.16</v>
      </c>
      <c r="G201" t="s">
        <v>16</v>
      </c>
      <c r="H201" s="1">
        <v>89</v>
      </c>
      <c r="I201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Vehicle sensor raw dataset</vt:lpstr>
      <vt:lpstr>Vehicle sensor working data</vt:lpstr>
      <vt:lpstr>Vehicle sensor 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CELIN BENNY</cp:lastModifiedBy>
  <dcterms:created xsi:type="dcterms:W3CDTF">2025-12-04T15:28:29Z</dcterms:created>
  <dcterms:modified xsi:type="dcterms:W3CDTF">2025-12-07T16:01:27Z</dcterms:modified>
</cp:coreProperties>
</file>